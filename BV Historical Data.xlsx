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6ee613adddef2a0/Documents-ODrv/Codes/mREITsBV/"/>
    </mc:Choice>
  </mc:AlternateContent>
  <xr:revisionPtr revIDLastSave="0" documentId="8_{DEE80101-47E7-4D76-AF94-95F491BF6C17}" xr6:coauthVersionLast="47" xr6:coauthVersionMax="47" xr10:uidLastSave="{00000000-0000-0000-0000-000000000000}"/>
  <bookViews>
    <workbookView xWindow="30360" yWindow="2430" windowWidth="21600" windowHeight="11295" xr2:uid="{00000000-000D-0000-FFFF-FFFF00000000}"/>
  </bookViews>
  <sheets>
    <sheet name="mREI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6" i="1" l="1"/>
  <c r="AZ16" i="1"/>
  <c r="AY16" i="1"/>
  <c r="AW16" i="1"/>
  <c r="AV16" i="1"/>
  <c r="AU16" i="1"/>
  <c r="AS16" i="1"/>
  <c r="AT16" i="1" s="1"/>
  <c r="A16" i="1"/>
  <c r="BA15" i="1"/>
  <c r="AZ15" i="1"/>
  <c r="AY15" i="1"/>
  <c r="AW15" i="1"/>
  <c r="AV15" i="1"/>
  <c r="AU15" i="1"/>
  <c r="AT15" i="1"/>
  <c r="AS15" i="1"/>
  <c r="A15" i="1"/>
  <c r="BA14" i="1"/>
  <c r="AZ14" i="1"/>
  <c r="AY14" i="1"/>
  <c r="AW14" i="1"/>
  <c r="AV14" i="1"/>
  <c r="AU14" i="1"/>
  <c r="AS14" i="1"/>
  <c r="AT14" i="1" s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A14" i="1"/>
  <c r="BA13" i="1"/>
  <c r="AZ13" i="1"/>
  <c r="AY13" i="1"/>
  <c r="AX13" i="1"/>
  <c r="AW13" i="1"/>
  <c r="AV13" i="1"/>
  <c r="AU13" i="1"/>
  <c r="AT13" i="1"/>
  <c r="AS13" i="1"/>
  <c r="A13" i="1"/>
  <c r="BA12" i="1"/>
  <c r="AZ12" i="1"/>
  <c r="AX12" i="1"/>
  <c r="AY12" i="1" s="1"/>
  <c r="AW12" i="1"/>
  <c r="AV12" i="1"/>
  <c r="AU12" i="1"/>
  <c r="AS12" i="1"/>
  <c r="AT12" i="1" s="1"/>
  <c r="H12" i="1"/>
  <c r="G12" i="1"/>
  <c r="F12" i="1"/>
  <c r="E12" i="1"/>
  <c r="A12" i="1"/>
  <c r="BA11" i="1"/>
  <c r="AZ11" i="1"/>
  <c r="AY11" i="1"/>
  <c r="AX11" i="1"/>
  <c r="AW11" i="1"/>
  <c r="AV11" i="1"/>
  <c r="AU11" i="1"/>
  <c r="AT11" i="1"/>
  <c r="AS11" i="1"/>
  <c r="A11" i="1"/>
  <c r="BA10" i="1"/>
  <c r="AZ10" i="1"/>
  <c r="AY10" i="1"/>
  <c r="AW10" i="1"/>
  <c r="AV10" i="1"/>
  <c r="AU10" i="1"/>
  <c r="AS10" i="1"/>
  <c r="AT10" i="1" s="1"/>
  <c r="A10" i="1"/>
  <c r="BA9" i="1"/>
  <c r="AZ9" i="1"/>
  <c r="AY9" i="1"/>
  <c r="AW9" i="1"/>
  <c r="AV9" i="1"/>
  <c r="AU9" i="1"/>
  <c r="AT9" i="1"/>
  <c r="AS9" i="1"/>
  <c r="A9" i="1"/>
  <c r="BA8" i="1"/>
  <c r="AZ8" i="1"/>
  <c r="AY8" i="1"/>
  <c r="AW8" i="1"/>
  <c r="AV8" i="1"/>
  <c r="AU8" i="1"/>
  <c r="AS8" i="1"/>
  <c r="AT8" i="1" s="1"/>
  <c r="A8" i="1"/>
  <c r="BA7" i="1"/>
  <c r="AZ7" i="1"/>
  <c r="AW7" i="1"/>
  <c r="AV7" i="1"/>
  <c r="AU7" i="1"/>
  <c r="X7" i="1"/>
  <c r="AS7" i="1" s="1"/>
  <c r="AT7" i="1" s="1"/>
  <c r="W7" i="1"/>
  <c r="V7" i="1"/>
  <c r="AY7" i="1" s="1"/>
  <c r="U7" i="1"/>
  <c r="T7" i="1"/>
  <c r="S7" i="1"/>
  <c r="R7" i="1"/>
  <c r="Q7" i="1"/>
  <c r="P7" i="1"/>
  <c r="O7" i="1"/>
  <c r="N7" i="1"/>
  <c r="M7" i="1"/>
  <c r="L7" i="1"/>
  <c r="K7" i="1"/>
  <c r="J7" i="1"/>
  <c r="I7" i="1"/>
  <c r="F7" i="1"/>
  <c r="E7" i="1"/>
  <c r="D7" i="1"/>
  <c r="A7" i="1"/>
  <c r="BA6" i="1"/>
  <c r="AZ6" i="1"/>
  <c r="AY6" i="1"/>
  <c r="AW6" i="1"/>
  <c r="AV6" i="1"/>
  <c r="AU6" i="1"/>
  <c r="AT6" i="1"/>
  <c r="AS6" i="1"/>
  <c r="G6" i="1"/>
  <c r="F6" i="1"/>
  <c r="E6" i="1"/>
  <c r="D6" i="1"/>
  <c r="A6" i="1"/>
  <c r="BA5" i="1"/>
  <c r="AZ5" i="1"/>
  <c r="AY5" i="1"/>
  <c r="AW5" i="1"/>
  <c r="AV5" i="1"/>
  <c r="AU5" i="1"/>
  <c r="AT5" i="1"/>
  <c r="AS5" i="1"/>
  <c r="A5" i="1"/>
  <c r="BA4" i="1"/>
  <c r="AZ4" i="1"/>
  <c r="AY4" i="1"/>
  <c r="AW4" i="1"/>
  <c r="AV4" i="1"/>
  <c r="AU4" i="1"/>
  <c r="AS4" i="1"/>
  <c r="AT4" i="1" s="1"/>
  <c r="A4" i="1"/>
  <c r="BA3" i="1"/>
  <c r="AZ3" i="1"/>
  <c r="AY3" i="1"/>
  <c r="AW3" i="1"/>
  <c r="AV3" i="1"/>
  <c r="AU3" i="1"/>
  <c r="AT3" i="1"/>
  <c r="AS3" i="1"/>
  <c r="A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00000000-0006-0000-0000-000006000000}">
      <text>
        <r>
          <rPr>
            <sz val="10"/>
            <color rgb="FF000000"/>
            <rFont val="Arial"/>
            <scheme val="minor"/>
          </rPr>
          <t>over the past couple of quarters swaps have simply outperformed U.S. Treasuries regarding spread/basis risk. Put another way, interest rate payer swaps have simply either recorded larger price/valuation gains or smaller price/valuation losses when compared to U.S. Treasuries. This is the main reason why DX reported a more severe BV decrease when compared to sub-sector peers this quarter (that mREIT does not currently utilize interest rate swaps; 100% allocation to U.S. Treasuries).</t>
        </r>
      </text>
    </comment>
    <comment ref="L2" authorId="0" shapeId="0" xr:uid="{00000000-0006-0000-0000-000009000000}">
      <text>
        <r>
          <rPr>
            <sz val="10"/>
            <color rgb="FF000000"/>
            <rFont val="Arial"/>
            <scheme val="minor"/>
          </rPr>
          <t>over the past couple of quarters swaps have simply outperformed U.S. Treasuries regarding spread/basis risk. Put another way, interest rate payer swaps have simply either recorded larger price/valuation gains or smaller price/valuation losses when compared to U.S. Treasuries. This is the main reason why DX reported a more severe BV decrease when compared to sub-sector peers this quarter (that mREIT does not currently utilize interest rate swaps; 100% allocation to U.S. Treasuries).</t>
        </r>
      </text>
    </comment>
    <comment ref="M2" authorId="0" shapeId="0" xr:uid="{00000000-0006-0000-0000-00000A000000}">
      <text>
        <r>
          <rPr>
            <sz val="10"/>
            <color rgb="FF000000"/>
            <rFont val="Arial"/>
            <scheme val="minor"/>
          </rPr>
          <t>over the past couple of quarters swaps have simply outperformed U.S. Treasuries regarding spread/basis risk. Put another way, interest rate payer swaps have simply either recorded larger price/valuation gains or smaller price/valuation losses when compared to U.S. Treasuries. This is the main reason why DX reported a more severe BV decrease when compared to sub-sector peers this quarter (that mREIT does not currently utilize interest rate swaps; 100% allocation to U.S. Treasuries).</t>
        </r>
      </text>
    </comment>
    <comment ref="T2" authorId="0" shapeId="0" xr:uid="{00000000-0006-0000-0000-000011000000}">
      <text>
        <r>
          <rPr>
            <sz val="10"/>
            <color rgb="FF000000"/>
            <rFont val="Arial"/>
            <scheme val="minor"/>
          </rPr>
          <t>Spreads notably widened during early April 2025, declined a bit during most of May 2025 but “spiked” again in late May 2025, and modestly tightened during late June 2025.</t>
        </r>
      </text>
    </comment>
    <comment ref="U2" authorId="0" shapeId="0" xr:uid="{00000000-0006-0000-0000-000012000000}">
      <text>
        <r>
          <rPr>
            <sz val="10"/>
            <color rgb="FF000000"/>
            <rFont val="Arial"/>
            <scheme val="minor"/>
          </rPr>
          <t>Spreads notably widened during early April 2025, declined a bit during most of May 2025 but “spiked” again in late May 2025, and modestly tightened during late June 2025.</t>
        </r>
      </text>
    </comment>
    <comment ref="V2" authorId="0" shapeId="0" xr:uid="{00000000-0006-0000-0000-000013000000}">
      <text>
        <r>
          <rPr>
            <sz val="10"/>
            <color rgb="FF000000"/>
            <rFont val="Arial"/>
            <scheme val="minor"/>
          </rPr>
          <t>Spreads notably widened during early April 2025, declined a bit during most of May 2025 but “spiked” again in late May 2025, and modestly tightened during late June 2025.</t>
        </r>
      </text>
    </comment>
    <comment ref="N3" authorId="0" shapeId="0" xr:uid="{00000000-0006-0000-0000-00000B000000}">
      <text>
        <r>
          <rPr>
            <sz val="10"/>
            <color rgb="FF000000"/>
            <rFont val="Arial"/>
            <scheme val="minor"/>
          </rPr>
          <t>more than 50% of the duration dollars of our hedge portfolio came from Treasury-based hedges. This was a significant benefit in Q4.</t>
        </r>
      </text>
    </comment>
    <comment ref="T3" authorId="0" shapeId="0" xr:uid="{00000000-0006-0000-0000-000010000000}">
      <text>
        <r>
          <rPr>
            <sz val="10"/>
            <color rgb="FF000000"/>
            <rFont val="Arial"/>
            <scheme val="minor"/>
          </rPr>
          <t>AGNC wound up increasing the company’s on-balance sheet MBS/investment portfolio by only 4% during Q2 2025</t>
        </r>
      </text>
    </comment>
    <comment ref="AX4" authorId="0" shapeId="0" xr:uid="{00000000-0006-0000-0000-00000F000000}">
      <text>
        <r>
          <rPr>
            <sz val="10"/>
            <color rgb="FF000000"/>
            <rFont val="Arial"/>
            <scheme val="minor"/>
          </rPr>
          <t xml:space="preserve">was 18c prior to Q4'23
then 11c for two quarters
all this prior to 1:3 reverse split
</t>
        </r>
      </text>
    </comment>
    <comment ref="N5" authorId="0" shapeId="0" xr:uid="{00000000-0006-0000-0000-000007000000}">
      <text>
        <r>
          <rPr>
            <sz val="10"/>
            <color rgb="FF000000"/>
            <rFont val="Arial"/>
            <scheme val="minor"/>
          </rPr>
          <t>strong performance from our residential transition loan portfolio and our Agency and non-Agency MBS didn't quite offset merger-related dilution and expenses, and net losses from Longbridge and other positions</t>
        </r>
      </text>
    </comment>
    <comment ref="R6" authorId="0" shapeId="0" xr:uid="{00000000-0006-0000-0000-00000C000000}">
      <text>
        <r>
          <rPr>
            <sz val="10"/>
            <color rgb="FF000000"/>
            <rFont val="Arial"/>
            <scheme val="minor"/>
          </rPr>
          <t>SY 9 for 0% economic return</t>
        </r>
      </text>
    </comment>
    <comment ref="AX6" authorId="0" shapeId="0" xr:uid="{00000000-0006-0000-0000-00000D000000}">
      <text>
        <r>
          <rPr>
            <sz val="10"/>
            <color rgb="FF000000"/>
            <rFont val="Arial"/>
            <scheme val="minor"/>
          </rPr>
          <t>3/27/23: reduced from 65c to 40c</t>
        </r>
      </text>
    </comment>
    <comment ref="T8" authorId="0" shapeId="0" xr:uid="{00000000-0006-0000-0000-00000E000000}">
      <text>
        <r>
          <rPr>
            <sz val="10"/>
            <color rgb="FF000000"/>
            <rFont val="Arial"/>
            <scheme val="minor"/>
          </rPr>
          <t>Agency portfolio increased by 6%</t>
        </r>
      </text>
    </comment>
    <comment ref="K9" authorId="0" shapeId="0" xr:uid="{00000000-0006-0000-0000-000002000000}">
      <text>
        <r>
          <rPr>
            <sz val="10"/>
            <color rgb="FF000000"/>
            <rFont val="Arial"/>
            <scheme val="minor"/>
          </rPr>
          <t xml:space="preserve"> dilution of ($0.23) as a result of impact from warrant exercise</t>
        </r>
      </text>
    </comment>
    <comment ref="T11" authorId="0" shapeId="0" xr:uid="{00000000-0006-0000-0000-000008000000}">
      <text>
        <r>
          <rPr>
            <sz val="10"/>
            <color rgb="FF000000"/>
            <rFont val="Arial"/>
            <scheme val="minor"/>
          </rPr>
          <t>DX increased the company’s on- and off-balance sheet MBS by 25% and 33% during Q2 2025</t>
        </r>
      </text>
    </comment>
    <comment ref="P12" authorId="0" shapeId="0" xr:uid="{00000000-0006-0000-0000-000003000000}">
      <text>
        <r>
          <rPr>
            <sz val="10"/>
            <color rgb="FF000000"/>
            <rFont val="Arial"/>
            <scheme val="minor"/>
          </rPr>
          <t>issued 23% of Q1'24 outstanding
shares in Q2'24. Deployed into higher coupon fixed rate agency MBS.</t>
        </r>
      </text>
    </comment>
    <comment ref="T12" authorId="0" shapeId="0" xr:uid="{00000000-0006-0000-0000-000005000000}">
      <text>
        <r>
          <rPr>
            <sz val="10"/>
            <color rgb="FF000000"/>
            <rFont val="Arial"/>
            <scheme val="minor"/>
          </rPr>
          <t>ORC reduced the company’s investment portfolio size by (10%) during April 2025
By the end of Q2 2025, ORC’s investment portfolio size was largely unchanged when compared to the end of Q1 2025</t>
        </r>
      </text>
    </comment>
    <comment ref="AX12" authorId="0" shapeId="0" xr:uid="{00000000-0006-0000-0000-000004000000}">
      <text>
        <r>
          <rPr>
            <sz val="10"/>
            <color rgb="FF000000"/>
            <rFont val="Arial"/>
            <scheme val="minor"/>
          </rPr>
          <t>10/11/2023: monthly dividend cut from 16c to 12c</t>
        </r>
      </text>
    </comment>
    <comment ref="O14" authorId="0" shapeId="0" xr:uid="{00000000-0006-0000-0000-000001000000}">
      <text>
        <r>
          <rPr>
            <sz val="10"/>
            <color rgb="FF000000"/>
            <rFont val="Arial"/>
            <scheme val="minor"/>
          </rPr>
          <t>The impairments in the JV Equity book are the primary driver of the -9.08% decline of Adjusted Book Value in the first quarter. Now it represents less than 5% of the Company’s capital allocation</t>
        </r>
      </text>
    </comment>
  </commentList>
</comments>
</file>

<file path=xl/sharedStrings.xml><?xml version="1.0" encoding="utf-8"?>
<sst xmlns="http://schemas.openxmlformats.org/spreadsheetml/2006/main" count="114" uniqueCount="51">
  <si>
    <t>BV</t>
  </si>
  <si>
    <t>Ecn Retn</t>
  </si>
  <si>
    <t>1-Year</t>
  </si>
  <si>
    <t>2-Year</t>
  </si>
  <si>
    <t>3-Year</t>
  </si>
  <si>
    <t>4-Year</t>
  </si>
  <si>
    <t>Dividend</t>
  </si>
  <si>
    <t>Div Yield</t>
  </si>
  <si>
    <t>Daily % Change</t>
  </si>
  <si>
    <t>Price</t>
  </si>
  <si>
    <t xml:space="preserve">Q2' 21 </t>
  </si>
  <si>
    <t xml:space="preserve">Q3' 21 </t>
  </si>
  <si>
    <t>Q4'21</t>
  </si>
  <si>
    <t>Q1'22</t>
  </si>
  <si>
    <t>Q2'22</t>
  </si>
  <si>
    <t>Q3'22</t>
  </si>
  <si>
    <t>Q4'22</t>
  </si>
  <si>
    <t>Q1'23</t>
  </si>
  <si>
    <t>Q2'23</t>
  </si>
  <si>
    <t>Q3'23</t>
  </si>
  <si>
    <t>Q4'23</t>
  </si>
  <si>
    <t>Q1'24</t>
  </si>
  <si>
    <t>Q2'24</t>
  </si>
  <si>
    <t>Q3'24</t>
  </si>
  <si>
    <t>Q4'24</t>
  </si>
  <si>
    <t>Q1'25</t>
  </si>
  <si>
    <t>Q2'25</t>
  </si>
  <si>
    <t>Q3'25</t>
  </si>
  <si>
    <t>Q4'25</t>
  </si>
  <si>
    <t>Q1'26</t>
  </si>
  <si>
    <t>Q2'26</t>
  </si>
  <si>
    <t>Q2'21</t>
  </si>
  <si>
    <t>Q3'21</t>
  </si>
  <si>
    <t>Ecn Return</t>
  </si>
  <si>
    <t>on Book</t>
  </si>
  <si>
    <t>on Price</t>
  </si>
  <si>
    <t>P/Q2'26 BV</t>
  </si>
  <si>
    <t>AGNC</t>
  </si>
  <si>
    <t>CIM</t>
  </si>
  <si>
    <t>EFC</t>
  </si>
  <si>
    <t>IVR</t>
  </si>
  <si>
    <t>MFA</t>
  </si>
  <si>
    <t>NLY</t>
  </si>
  <si>
    <t>RITM</t>
  </si>
  <si>
    <t>PMT</t>
  </si>
  <si>
    <t>DX</t>
  </si>
  <si>
    <t>ORC</t>
  </si>
  <si>
    <t>ARR</t>
  </si>
  <si>
    <t>ADAM</t>
  </si>
  <si>
    <t>PFSI</t>
  </si>
  <si>
    <t>RWT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</si>
</sst>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m/d"/>
  </numFmts>
  <fonts count="9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scheme val="minor"/>
    </font>
    <font>
      <sz val="9"/>
      <color theme="1"/>
      <name val="Arial"/>
      <scheme val="minor"/>
    </font>
    <font>
      <sz val="9"/>
      <color theme="1"/>
      <name val="Arial"/>
    </font>
    <font>
      <sz val="9"/>
      <color rgb="FF00000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/>
    <xf numFmtId="2" fontId="4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4" fontId="3" fillId="2" borderId="0" xfId="0" applyNumberFormat="1" applyFont="1" applyFill="1" applyAlignment="1">
      <alignment horizontal="center"/>
    </xf>
    <xf numFmtId="4" fontId="3" fillId="5" borderId="0" xfId="0" applyNumberFormat="1" applyFont="1" applyFill="1" applyAlignment="1">
      <alignment horizontal="center"/>
    </xf>
    <xf numFmtId="4" fontId="5" fillId="3" borderId="0" xfId="0" applyNumberFormat="1" applyFont="1" applyFill="1" applyAlignment="1">
      <alignment horizontal="center"/>
    </xf>
    <xf numFmtId="4" fontId="5" fillId="2" borderId="0" xfId="0" applyNumberFormat="1" applyFont="1" applyFill="1" applyAlignment="1">
      <alignment horizontal="center"/>
    </xf>
    <xf numFmtId="4" fontId="5" fillId="5" borderId="0" xfId="0" applyNumberFormat="1" applyFont="1" applyFill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3" borderId="0" xfId="0" applyNumberFormat="1" applyFont="1" applyFill="1" applyAlignment="1">
      <alignment horizontal="center"/>
    </xf>
    <xf numFmtId="9" fontId="3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2" fontId="3" fillId="5" borderId="0" xfId="0" applyNumberFormat="1" applyFont="1" applyFill="1" applyAlignment="1">
      <alignment horizontal="center"/>
    </xf>
    <xf numFmtId="4" fontId="5" fillId="6" borderId="0" xfId="0" applyNumberFormat="1" applyFont="1" applyFill="1" applyAlignment="1">
      <alignment horizontal="center"/>
    </xf>
    <xf numFmtId="2" fontId="3" fillId="7" borderId="0" xfId="0" applyNumberFormat="1" applyFont="1" applyFill="1" applyAlignment="1">
      <alignment horizontal="center"/>
    </xf>
    <xf numFmtId="10" fontId="3" fillId="0" borderId="0" xfId="0" applyNumberFormat="1" applyFont="1" applyAlignment="1">
      <alignment horizontal="center"/>
    </xf>
    <xf numFmtId="164" fontId="3" fillId="2" borderId="0" xfId="0" applyNumberFormat="1" applyFont="1" applyFill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5" borderId="0" xfId="0" applyNumberFormat="1" applyFont="1" applyFill="1" applyAlignment="1">
      <alignment horizontal="center"/>
    </xf>
    <xf numFmtId="2" fontId="5" fillId="3" borderId="0" xfId="0" applyNumberFormat="1" applyFont="1" applyFill="1" applyAlignment="1">
      <alignment horizontal="center"/>
    </xf>
    <xf numFmtId="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/>
    <xf numFmtId="2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2" fontId="6" fillId="2" borderId="0" xfId="0" applyNumberFormat="1" applyFont="1" applyFill="1" applyAlignment="1">
      <alignment horizontal="center"/>
    </xf>
    <xf numFmtId="4" fontId="6" fillId="2" borderId="0" xfId="0" applyNumberFormat="1" applyFont="1" applyFill="1" applyAlignment="1">
      <alignment horizontal="center"/>
    </xf>
    <xf numFmtId="4" fontId="8" fillId="3" borderId="0" xfId="0" applyNumberFormat="1" applyFont="1" applyFill="1" applyAlignment="1">
      <alignment horizontal="center"/>
    </xf>
    <xf numFmtId="4" fontId="8" fillId="5" borderId="0" xfId="0" applyNumberFormat="1" applyFont="1" applyFill="1" applyAlignment="1">
      <alignment horizontal="center"/>
    </xf>
    <xf numFmtId="4" fontId="8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165" fontId="6" fillId="3" borderId="0" xfId="0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4" fontId="3" fillId="0" borderId="0" xfId="0" applyNumberFormat="1" applyFont="1" applyAlignment="1">
      <alignment horizontal="center"/>
    </xf>
    <xf numFmtId="166" fontId="3" fillId="0" borderId="0" xfId="0" applyNumberFormat="1" applyFont="1"/>
    <xf numFmtId="1" fontId="3" fillId="0" borderId="0" xfId="0" applyNumberFormat="1" applyFont="1" applyAlignment="1">
      <alignment horizontal="center"/>
    </xf>
    <xf numFmtId="10" fontId="3" fillId="0" borderId="0" xfId="0" applyNumberFormat="1" applyFont="1"/>
    <xf numFmtId="4" fontId="3" fillId="0" borderId="0" xfId="0" applyNumberFormat="1" applyFont="1"/>
    <xf numFmtId="3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left"/>
    </xf>
    <xf numFmtId="19" fontId="3" fillId="0" borderId="0" xfId="0" applyNumberFormat="1" applyFont="1" applyAlignment="1">
      <alignment horizontal="center"/>
    </xf>
    <xf numFmtId="19" fontId="3" fillId="8" borderId="0" xfId="0" applyNumberFormat="1" applyFont="1" applyFill="1" applyAlignment="1">
      <alignment horizontal="center"/>
    </xf>
    <xf numFmtId="46" fontId="3" fillId="0" borderId="0" xfId="0" applyNumberFormat="1" applyFont="1" applyAlignment="1">
      <alignment horizontal="center"/>
    </xf>
    <xf numFmtId="3" fontId="3" fillId="8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left"/>
    </xf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I45"/>
  <sheetViews>
    <sheetView tabSelected="1" workbookViewId="0">
      <pane xSplit="4" topLeftCell="E1" activePane="topRight" state="frozen"/>
      <selection pane="topRight" activeCell="F2" sqref="F2"/>
    </sheetView>
  </sheetViews>
  <sheetFormatPr defaultColWidth="12.5703125" defaultRowHeight="15.75" customHeight="1" x14ac:dyDescent="0.2"/>
  <cols>
    <col min="2" max="2" width="9" customWidth="1"/>
    <col min="3" max="3" width="8.42578125" customWidth="1"/>
    <col min="4" max="4" width="0.42578125" customWidth="1"/>
    <col min="5" max="24" width="8.42578125" customWidth="1"/>
    <col min="25" max="25" width="9.140625" customWidth="1"/>
    <col min="26" max="29" width="8.42578125" customWidth="1"/>
    <col min="30" max="38" width="9.42578125" customWidth="1"/>
    <col min="39" max="45" width="7.28515625" customWidth="1"/>
    <col min="46" max="46" width="9.42578125" customWidth="1"/>
    <col min="47" max="49" width="8.42578125" customWidth="1"/>
    <col min="50" max="50" width="9" customWidth="1"/>
    <col min="51" max="52" width="7.85546875" customWidth="1"/>
    <col min="53" max="53" width="9.42578125" customWidth="1"/>
  </cols>
  <sheetData>
    <row r="1" spans="1:61" ht="15" x14ac:dyDescent="0.25">
      <c r="B1" s="1"/>
      <c r="D1" s="2" t="s">
        <v>0</v>
      </c>
      <c r="E1" s="2" t="s">
        <v>0</v>
      </c>
      <c r="F1" s="2" t="s">
        <v>0</v>
      </c>
      <c r="G1" s="3" t="s">
        <v>0</v>
      </c>
      <c r="H1" s="3" t="s">
        <v>0</v>
      </c>
      <c r="I1" s="3" t="s">
        <v>0</v>
      </c>
      <c r="J1" s="4" t="s">
        <v>0</v>
      </c>
      <c r="K1" s="3" t="s">
        <v>0</v>
      </c>
      <c r="L1" s="3" t="s">
        <v>0</v>
      </c>
      <c r="M1" s="3" t="s">
        <v>0</v>
      </c>
      <c r="N1" s="4" t="s">
        <v>0</v>
      </c>
      <c r="O1" s="3" t="s">
        <v>0</v>
      </c>
      <c r="P1" s="3" t="s">
        <v>0</v>
      </c>
      <c r="Q1" s="4" t="s">
        <v>0</v>
      </c>
      <c r="R1" s="3" t="s">
        <v>0</v>
      </c>
      <c r="S1" s="3" t="s">
        <v>0</v>
      </c>
      <c r="T1" s="3" t="s">
        <v>0</v>
      </c>
      <c r="U1" s="3" t="s">
        <v>0</v>
      </c>
      <c r="V1" s="3" t="s">
        <v>0</v>
      </c>
      <c r="W1" s="3" t="s">
        <v>0</v>
      </c>
      <c r="X1" s="3" t="s">
        <v>0</v>
      </c>
      <c r="Y1" s="2" t="s">
        <v>1</v>
      </c>
      <c r="Z1" s="5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4" t="s">
        <v>1</v>
      </c>
      <c r="AF1" s="2" t="s">
        <v>1</v>
      </c>
      <c r="AG1" s="2" t="s">
        <v>1</v>
      </c>
      <c r="AH1" s="2" t="s">
        <v>1</v>
      </c>
      <c r="AI1" s="4" t="s">
        <v>1</v>
      </c>
      <c r="AJ1" s="2" t="s">
        <v>1</v>
      </c>
      <c r="AK1" s="2" t="s">
        <v>1</v>
      </c>
      <c r="AL1" s="4" t="s">
        <v>1</v>
      </c>
      <c r="AM1" s="6" t="s">
        <v>1</v>
      </c>
      <c r="AN1" s="6" t="s">
        <v>1</v>
      </c>
      <c r="AO1" s="2" t="s">
        <v>1</v>
      </c>
      <c r="AP1" s="2" t="s">
        <v>1</v>
      </c>
      <c r="AQ1" s="2" t="s">
        <v>1</v>
      </c>
      <c r="AR1" s="2" t="s">
        <v>1</v>
      </c>
      <c r="AS1" s="2" t="s">
        <v>1</v>
      </c>
      <c r="AT1" s="2" t="s">
        <v>2</v>
      </c>
      <c r="AU1" s="2" t="s">
        <v>3</v>
      </c>
      <c r="AV1" s="2" t="s">
        <v>4</v>
      </c>
      <c r="AW1" s="2" t="s">
        <v>5</v>
      </c>
      <c r="AX1" s="2" t="s">
        <v>6</v>
      </c>
      <c r="AY1" s="2" t="s">
        <v>7</v>
      </c>
      <c r="AZ1" s="2" t="s">
        <v>7</v>
      </c>
      <c r="BC1" s="2"/>
      <c r="BD1" s="2"/>
      <c r="BE1" s="2"/>
      <c r="BF1" s="2"/>
      <c r="BG1" s="2"/>
      <c r="BH1" s="2"/>
      <c r="BI1" s="2"/>
    </row>
    <row r="2" spans="1:61" ht="12.75" x14ac:dyDescent="0.2">
      <c r="A2" s="7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 s="3" t="s">
        <v>14</v>
      </c>
      <c r="I2" s="3" t="s">
        <v>15</v>
      </c>
      <c r="J2" s="4" t="s">
        <v>16</v>
      </c>
      <c r="K2" s="3" t="s">
        <v>17</v>
      </c>
      <c r="L2" s="3" t="s">
        <v>18</v>
      </c>
      <c r="M2" s="3" t="s">
        <v>19</v>
      </c>
      <c r="N2" s="4" t="s">
        <v>20</v>
      </c>
      <c r="O2" s="3" t="s">
        <v>21</v>
      </c>
      <c r="P2" s="3" t="s">
        <v>22</v>
      </c>
      <c r="Q2" s="4" t="s">
        <v>23</v>
      </c>
      <c r="R2" s="3" t="s">
        <v>24</v>
      </c>
      <c r="S2" s="3" t="s">
        <v>25</v>
      </c>
      <c r="T2" s="3" t="s">
        <v>26</v>
      </c>
      <c r="U2" s="3" t="s">
        <v>27</v>
      </c>
      <c r="V2" s="3" t="s">
        <v>28</v>
      </c>
      <c r="W2" s="3" t="s">
        <v>29</v>
      </c>
      <c r="X2" s="3" t="s">
        <v>30</v>
      </c>
      <c r="Y2" s="2" t="s">
        <v>31</v>
      </c>
      <c r="Z2" s="5" t="s">
        <v>32</v>
      </c>
      <c r="AA2" s="2" t="s">
        <v>12</v>
      </c>
      <c r="AB2" s="2" t="s">
        <v>13</v>
      </c>
      <c r="AC2" s="2" t="s">
        <v>14</v>
      </c>
      <c r="AD2" s="2" t="s">
        <v>15</v>
      </c>
      <c r="AE2" s="4" t="s">
        <v>16</v>
      </c>
      <c r="AF2" s="2" t="s">
        <v>17</v>
      </c>
      <c r="AG2" s="2" t="s">
        <v>18</v>
      </c>
      <c r="AH2" s="2" t="s">
        <v>19</v>
      </c>
      <c r="AI2" s="4" t="s">
        <v>20</v>
      </c>
      <c r="AJ2" s="2" t="s">
        <v>21</v>
      </c>
      <c r="AK2" s="2" t="s">
        <v>22</v>
      </c>
      <c r="AL2" s="4" t="s">
        <v>23</v>
      </c>
      <c r="AM2" s="6" t="s">
        <v>24</v>
      </c>
      <c r="AN2" s="6" t="s">
        <v>25</v>
      </c>
      <c r="AO2" s="2" t="s">
        <v>26</v>
      </c>
      <c r="AP2" s="2" t="s">
        <v>27</v>
      </c>
      <c r="AQ2" s="2" t="s">
        <v>28</v>
      </c>
      <c r="AR2" s="2" t="s">
        <v>29</v>
      </c>
      <c r="AS2" s="2" t="s">
        <v>30</v>
      </c>
      <c r="AT2" s="2" t="s">
        <v>33</v>
      </c>
      <c r="AU2" s="2" t="s">
        <v>33</v>
      </c>
      <c r="AV2" s="2" t="s">
        <v>33</v>
      </c>
      <c r="AW2" s="2" t="s">
        <v>33</v>
      </c>
      <c r="AX2" s="2"/>
      <c r="AY2" s="2" t="s">
        <v>34</v>
      </c>
      <c r="AZ2" s="2" t="s">
        <v>35</v>
      </c>
      <c r="BA2" s="2" t="s">
        <v>36</v>
      </c>
      <c r="BC2" s="2"/>
      <c r="BD2" s="2"/>
      <c r="BE2" s="2"/>
      <c r="BF2" s="2"/>
      <c r="BG2" s="2"/>
      <c r="BH2" s="2"/>
      <c r="BI2" s="2"/>
    </row>
    <row r="3" spans="1:61" ht="12.75" x14ac:dyDescent="0.2">
      <c r="A3" s="8">
        <f ca="1">IFERROR(__xludf.DUMMYFUNCTION("GOOGLEFINANCE(B3, ""changepct"")"),-1.22)</f>
        <v>-1.22</v>
      </c>
      <c r="B3" s="9" t="s">
        <v>37</v>
      </c>
      <c r="C3" s="10">
        <v>10.95</v>
      </c>
      <c r="D3" s="11">
        <v>16.39</v>
      </c>
      <c r="E3" s="12">
        <v>16.41</v>
      </c>
      <c r="F3" s="12">
        <v>15.75</v>
      </c>
      <c r="G3" s="13">
        <v>13.12</v>
      </c>
      <c r="H3" s="14">
        <v>11.43</v>
      </c>
      <c r="I3" s="15">
        <v>9.08</v>
      </c>
      <c r="J3" s="16">
        <v>9.84</v>
      </c>
      <c r="K3" s="17">
        <v>9.41</v>
      </c>
      <c r="L3" s="18">
        <v>9.39</v>
      </c>
      <c r="M3" s="18">
        <v>8.08</v>
      </c>
      <c r="N3" s="16">
        <v>8.6999999999999993</v>
      </c>
      <c r="O3" s="18">
        <v>8.84</v>
      </c>
      <c r="P3" s="18">
        <v>8.4</v>
      </c>
      <c r="Q3" s="16">
        <v>8.82</v>
      </c>
      <c r="R3" s="18">
        <v>8.41</v>
      </c>
      <c r="S3" s="18">
        <v>8.25</v>
      </c>
      <c r="T3" s="18">
        <v>7.81</v>
      </c>
      <c r="U3" s="18">
        <v>8.2799999999999994</v>
      </c>
      <c r="V3" s="18">
        <v>8.8800000000000008</v>
      </c>
      <c r="W3" s="18">
        <v>8.3800000000000008</v>
      </c>
      <c r="X3" s="18">
        <v>8.58</v>
      </c>
      <c r="Y3" s="19">
        <v>-5.5E-2</v>
      </c>
      <c r="Z3" s="19">
        <v>2.3E-2</v>
      </c>
      <c r="AA3" s="19">
        <v>-1.7999999999999999E-2</v>
      </c>
      <c r="AB3" s="19">
        <v>-0.14412698412698421</v>
      </c>
      <c r="AC3" s="19">
        <v>-0.10137195121951226</v>
      </c>
      <c r="AD3" s="19">
        <v>-0.17410323709536313</v>
      </c>
      <c r="AE3" s="20">
        <v>0.12334801762114522</v>
      </c>
      <c r="AF3" s="19">
        <v>-7.1138211382114624E-3</v>
      </c>
      <c r="AG3" s="19">
        <v>3.6131774707757636E-2</v>
      </c>
      <c r="AH3" s="19">
        <v>-0.10117145899893509</v>
      </c>
      <c r="AI3" s="20">
        <v>0.12128712871287117</v>
      </c>
      <c r="AJ3" s="19">
        <v>5.7471264367816133E-2</v>
      </c>
      <c r="AK3" s="19">
        <v>-9.0497737556560764E-3</v>
      </c>
      <c r="AL3" s="20">
        <v>9.2857142857142749E-2</v>
      </c>
      <c r="AM3" s="19">
        <v>-5.6689342403628551E-3</v>
      </c>
      <c r="AN3" s="19">
        <v>2.378121284185486E-2</v>
      </c>
      <c r="AO3" s="19">
        <v>-9.6969696969697594E-3</v>
      </c>
      <c r="AP3" s="19">
        <v>0.1062740076824582</v>
      </c>
      <c r="AQ3" s="19">
        <v>0.11594202898550732</v>
      </c>
      <c r="AR3" s="19">
        <v>-1.5765765765765827E-2</v>
      </c>
      <c r="AS3" s="19">
        <f t="shared" ref="AS3:AS16" si="0">(X3+AX3)/W3 - 1</f>
        <v>6.6825775656324415E-2</v>
      </c>
      <c r="AT3" s="19">
        <f t="shared" ref="AT3:AT16" si="1">(1+AR3)*(1+AS3)*(1+AP3)*(1+AQ3) - 1</f>
        <v>0.29627250700227892</v>
      </c>
      <c r="AU3" s="19">
        <f t="shared" ref="AU3:AU16" si="2">(1+AN3)*(1+AP3)*(1+AK3)*(1+AL3)*(1+AM3)*(1+AO3)*(1+AR3)*(1+AQ3) - 1</f>
        <v>0.32655212015852375</v>
      </c>
      <c r="AV3" s="19">
        <f t="shared" ref="AV3:AV16" si="3">(1+AR3)*(1+AL3)*(1+AM3)*(1+AN3)*(1+AO3)*(1+AP3)*(1+AQ3)*(1+AG3)*(1+AH3)*(1+AI3)*(1+AJ3)*(1+AK3) - 1</f>
        <v>0.46487840354053689</v>
      </c>
      <c r="AW3" s="19">
        <f t="shared" ref="AW3:AW16" si="4">(1+AG3)*(1+AM3)*(1+AN3)*(1+AO3)*(1+AP3)*(1+AE3)*(1+AF3)*(1+AH3)*(1+AI3)*(1+AJ3)*(1+AK3)*(1+AL3)*(1+AD3)*(1+AC3)*(1+AR3)*(1+AQ3) - 1</f>
        <v>0.21260986990585851</v>
      </c>
      <c r="AX3" s="12">
        <v>0.36</v>
      </c>
      <c r="AY3" s="19">
        <f t="shared" ref="AY3:AY16" si="5">4*AX3/V3</f>
        <v>0.16216216216216214</v>
      </c>
      <c r="AZ3" s="19">
        <f t="shared" ref="AZ3:AZ16" si="6">4*AX3/C3</f>
        <v>0.13150684931506851</v>
      </c>
      <c r="BA3" s="21">
        <f t="shared" ref="BA3:BA16" si="7">C3/X3</f>
        <v>1.276223776223776</v>
      </c>
      <c r="BC3" s="19"/>
      <c r="BD3" s="19"/>
      <c r="BE3" s="19"/>
      <c r="BG3" s="19"/>
      <c r="BH3" s="19"/>
      <c r="BI3" s="19"/>
    </row>
    <row r="4" spans="1:61" ht="12.75" x14ac:dyDescent="0.2">
      <c r="A4" s="8">
        <f ca="1">IFERROR(__xludf.DUMMYFUNCTION("GOOGLEFINANCE(B4, ""changepct"")"),-1.36)</f>
        <v>-1.36</v>
      </c>
      <c r="B4" s="9" t="s">
        <v>38</v>
      </c>
      <c r="C4" s="10">
        <v>11.61</v>
      </c>
      <c r="D4" s="11">
        <v>11.45</v>
      </c>
      <c r="E4" s="12">
        <v>12.32</v>
      </c>
      <c r="F4" s="22">
        <v>11.84</v>
      </c>
      <c r="G4" s="22">
        <v>10.15</v>
      </c>
      <c r="H4" s="14">
        <v>8.82</v>
      </c>
      <c r="I4" s="15">
        <v>7.44</v>
      </c>
      <c r="J4" s="16">
        <v>7.49</v>
      </c>
      <c r="K4" s="18">
        <v>7.41</v>
      </c>
      <c r="L4" s="18">
        <v>7.29</v>
      </c>
      <c r="M4" s="18">
        <v>6.9</v>
      </c>
      <c r="N4" s="16">
        <v>6.75</v>
      </c>
      <c r="O4" s="18">
        <v>7.11</v>
      </c>
      <c r="P4" s="18">
        <v>21.27</v>
      </c>
      <c r="Q4" s="16">
        <v>22.35</v>
      </c>
      <c r="R4" s="18">
        <v>19.72</v>
      </c>
      <c r="S4" s="18">
        <v>21.17</v>
      </c>
      <c r="T4" s="18">
        <v>20.91</v>
      </c>
      <c r="U4" s="18">
        <v>20.239999999999998</v>
      </c>
      <c r="V4" s="18">
        <v>19.7</v>
      </c>
      <c r="W4" s="18">
        <v>18.34</v>
      </c>
      <c r="X4" s="18">
        <v>17.75</v>
      </c>
      <c r="Y4" s="19">
        <v>2.9000000000000001E-2</v>
      </c>
      <c r="Z4" s="19">
        <v>0.105</v>
      </c>
      <c r="AA4" s="19">
        <v>-1.2175324675324672E-2</v>
      </c>
      <c r="AB4" s="19">
        <v>-0.1148648648648648</v>
      </c>
      <c r="AC4" s="23">
        <v>-9.852216748768472E-2</v>
      </c>
      <c r="AD4" s="23">
        <v>-0.13038548752834456</v>
      </c>
      <c r="AE4" s="20">
        <v>3.7634408602150504E-2</v>
      </c>
      <c r="AF4" s="23">
        <v>2.0026702269692942E-2</v>
      </c>
      <c r="AG4" s="23">
        <v>8.0971659919026884E-3</v>
      </c>
      <c r="AH4" s="19">
        <v>-2.8806584362139898E-2</v>
      </c>
      <c r="AI4" s="20">
        <v>-5.7971014492753659E-3</v>
      </c>
      <c r="AJ4" s="19">
        <v>6.9629629629629708E-2</v>
      </c>
      <c r="AK4" s="19">
        <v>1.359587435536791E-2</v>
      </c>
      <c r="AL4" s="20">
        <v>6.8171133051246002E-2</v>
      </c>
      <c r="AM4" s="19">
        <v>-0.1011185682326623</v>
      </c>
      <c r="AN4" s="19">
        <v>9.229208924949317E-2</v>
      </c>
      <c r="AO4" s="19">
        <v>5.1960321209258975E-3</v>
      </c>
      <c r="AP4" s="19">
        <v>-1.4347202295552419E-2</v>
      </c>
      <c r="AQ4" s="19">
        <v>-8.3992094861659039E-3</v>
      </c>
      <c r="AR4" s="19">
        <v>-4.6192893401015289E-2</v>
      </c>
      <c r="AS4" s="19">
        <f t="shared" si="0"/>
        <v>-7.6335877862595547E-3</v>
      </c>
      <c r="AT4" s="19">
        <f t="shared" si="1"/>
        <v>-7.4889875658032068E-2</v>
      </c>
      <c r="AU4" s="19">
        <f t="shared" si="2"/>
        <v>-3.8631372632544903E-3</v>
      </c>
      <c r="AV4" s="19">
        <f t="shared" si="3"/>
        <v>3.7135702379260671E-2</v>
      </c>
      <c r="AW4" s="19">
        <f t="shared" si="4"/>
        <v>-0.13945552428950381</v>
      </c>
      <c r="AX4" s="22">
        <v>0.45</v>
      </c>
      <c r="AY4" s="19">
        <f t="shared" si="5"/>
        <v>9.1370558375634528E-2</v>
      </c>
      <c r="AZ4" s="19">
        <f t="shared" si="6"/>
        <v>0.15503875968992248</v>
      </c>
      <c r="BA4" s="21">
        <f t="shared" si="7"/>
        <v>0.65408450704225352</v>
      </c>
      <c r="BC4" s="19"/>
      <c r="BD4" s="19"/>
      <c r="BE4" s="19"/>
      <c r="BG4" s="19"/>
      <c r="BH4" s="19"/>
      <c r="BI4" s="19"/>
    </row>
    <row r="5" spans="1:61" ht="12.75" x14ac:dyDescent="0.2">
      <c r="A5" s="8">
        <f ca="1">IFERROR(__xludf.DUMMYFUNCTION("GOOGLEFINANCE(B5, ""changepct"")"),-0.66)</f>
        <v>-0.66</v>
      </c>
      <c r="B5" s="9" t="s">
        <v>39</v>
      </c>
      <c r="C5" s="10">
        <v>13.63</v>
      </c>
      <c r="D5" s="11">
        <v>18.47</v>
      </c>
      <c r="E5" s="12">
        <v>18.350000000000001</v>
      </c>
      <c r="F5" s="22">
        <v>18.39</v>
      </c>
      <c r="G5" s="13">
        <v>17.739999999999998</v>
      </c>
      <c r="H5" s="14">
        <v>16.22</v>
      </c>
      <c r="I5" s="15">
        <v>15.22</v>
      </c>
      <c r="J5" s="16">
        <v>15.05</v>
      </c>
      <c r="K5" s="18">
        <v>15.1</v>
      </c>
      <c r="L5" s="18">
        <v>14.7</v>
      </c>
      <c r="M5" s="18">
        <v>14.33</v>
      </c>
      <c r="N5" s="16">
        <v>13.83</v>
      </c>
      <c r="O5" s="18">
        <v>13.69</v>
      </c>
      <c r="P5" s="18">
        <v>13.92</v>
      </c>
      <c r="Q5" s="16">
        <v>13.66</v>
      </c>
      <c r="R5" s="18">
        <v>13.52</v>
      </c>
      <c r="S5" s="18">
        <v>13.44</v>
      </c>
      <c r="T5" s="18">
        <v>13.49</v>
      </c>
      <c r="U5" s="18">
        <v>13.4</v>
      </c>
      <c r="V5" s="18">
        <v>13.16</v>
      </c>
      <c r="W5" s="18">
        <v>13.56</v>
      </c>
      <c r="X5" s="18">
        <v>13.61</v>
      </c>
      <c r="Y5" s="19">
        <v>4.2000000000000003E-2</v>
      </c>
      <c r="Z5" s="19">
        <v>1.7999999999999999E-2</v>
      </c>
      <c r="AA5" s="19">
        <v>2.6702997275204199E-2</v>
      </c>
      <c r="AB5" s="19">
        <v>-1.0875475802066492E-2</v>
      </c>
      <c r="AC5" s="19">
        <v>-6.0315670800450971E-2</v>
      </c>
      <c r="AD5" s="19">
        <v>-3.3908754623921067E-2</v>
      </c>
      <c r="AE5" s="20">
        <v>1.8396846254927768E-2</v>
      </c>
      <c r="AF5" s="19">
        <v>3.3222591362126019E-2</v>
      </c>
      <c r="AG5" s="19">
        <v>3.3112582781456013E-3</v>
      </c>
      <c r="AH5" s="19">
        <v>5.4421768707482165E-3</v>
      </c>
      <c r="AI5" s="20">
        <v>-3.4891835310537633E-3</v>
      </c>
      <c r="AJ5" s="19">
        <v>2.0968908170643452E-2</v>
      </c>
      <c r="AK5" s="19">
        <v>4.5288531775018237E-2</v>
      </c>
      <c r="AL5" s="20">
        <v>9.339080459770166E-3</v>
      </c>
      <c r="AM5" s="19">
        <v>1.8301610541727742E-2</v>
      </c>
      <c r="AN5" s="19">
        <v>2.2928994082840326E-2</v>
      </c>
      <c r="AO5" s="19">
        <v>3.2738095238095344E-2</v>
      </c>
      <c r="AP5" s="19">
        <v>2.2238695329874103E-2</v>
      </c>
      <c r="AQ5" s="19">
        <v>1.1194029850746245E-2</v>
      </c>
      <c r="AR5" s="19">
        <v>6.0030395136778214E-2</v>
      </c>
      <c r="AS5" s="19">
        <f t="shared" si="0"/>
        <v>3.2448377581120846E-2</v>
      </c>
      <c r="AT5" s="19">
        <f t="shared" si="1"/>
        <v>0.13128877470578248</v>
      </c>
      <c r="AU5" s="19">
        <f t="shared" si="2"/>
        <v>0.24362808963706262</v>
      </c>
      <c r="AV5" s="19">
        <f t="shared" si="3"/>
        <v>0.27637368372667503</v>
      </c>
      <c r="AW5" s="19">
        <f t="shared" si="4"/>
        <v>0.21923918348363358</v>
      </c>
      <c r="AX5" s="24">
        <v>0.39</v>
      </c>
      <c r="AY5" s="19">
        <f t="shared" si="5"/>
        <v>0.11854103343465046</v>
      </c>
      <c r="AZ5" s="19">
        <f t="shared" si="6"/>
        <v>0.1144534115920763</v>
      </c>
      <c r="BA5" s="21">
        <f t="shared" si="7"/>
        <v>1.0014695077149156</v>
      </c>
      <c r="BC5" s="19"/>
      <c r="BD5" s="19"/>
      <c r="BE5" s="19"/>
      <c r="BG5" s="19"/>
      <c r="BH5" s="19"/>
      <c r="BI5" s="19"/>
    </row>
    <row r="6" spans="1:61" ht="18" customHeight="1" x14ac:dyDescent="0.2">
      <c r="A6" s="8">
        <f ca="1">IFERROR(__xludf.DUMMYFUNCTION("GOOGLEFINANCE(B6, ""changepct"")"),-0.2)</f>
        <v>-0.2</v>
      </c>
      <c r="B6" s="9" t="s">
        <v>40</v>
      </c>
      <c r="C6" s="10">
        <v>7.56</v>
      </c>
      <c r="D6" s="11">
        <f>3.21*10</f>
        <v>32.1</v>
      </c>
      <c r="E6" s="12">
        <f>3.25*10</f>
        <v>32.5</v>
      </c>
      <c r="F6" s="22">
        <f>2.91*10</f>
        <v>29.1</v>
      </c>
      <c r="G6" s="22">
        <f>2.08*10</f>
        <v>20.8</v>
      </c>
      <c r="H6" s="14">
        <v>16.16</v>
      </c>
      <c r="I6" s="15">
        <v>12.8</v>
      </c>
      <c r="J6" s="16">
        <v>12.79</v>
      </c>
      <c r="K6" s="18">
        <v>12.61</v>
      </c>
      <c r="L6" s="18">
        <v>11.98</v>
      </c>
      <c r="M6" s="18">
        <v>9.93</v>
      </c>
      <c r="N6" s="16">
        <v>10</v>
      </c>
      <c r="O6" s="18">
        <v>10.08</v>
      </c>
      <c r="P6" s="18">
        <v>9.27</v>
      </c>
      <c r="Q6" s="16">
        <v>9.3699999999999992</v>
      </c>
      <c r="R6" s="18">
        <v>8.92</v>
      </c>
      <c r="S6" s="18">
        <v>8.81</v>
      </c>
      <c r="T6" s="18">
        <v>8.0500000000000007</v>
      </c>
      <c r="U6" s="18">
        <v>8.41</v>
      </c>
      <c r="V6" s="18">
        <v>8.7200000000000006</v>
      </c>
      <c r="W6" s="18">
        <v>8.08</v>
      </c>
      <c r="X6" s="18">
        <v>8.0299999999999994</v>
      </c>
      <c r="Y6" s="19">
        <v>-9.6000000000000002E-2</v>
      </c>
      <c r="Z6" s="19">
        <v>0.04</v>
      </c>
      <c r="AA6" s="19">
        <v>-7.6923076923076872E-2</v>
      </c>
      <c r="AB6" s="19">
        <v>-0.25429553264604821</v>
      </c>
      <c r="AC6" s="19">
        <v>-0.17980769230769245</v>
      </c>
      <c r="AD6" s="19">
        <v>-0.16769801980198018</v>
      </c>
      <c r="AE6" s="20">
        <v>4.9999999999999822E-2</v>
      </c>
      <c r="AF6" s="19">
        <v>1.7200938232994512E-2</v>
      </c>
      <c r="AG6" s="19">
        <v>-1.8239492466296525E-2</v>
      </c>
      <c r="AH6" s="19">
        <v>-0.13772954924874792</v>
      </c>
      <c r="AI6" s="20">
        <v>4.733131923464251E-2</v>
      </c>
      <c r="AJ6" s="19">
        <v>4.8000000000000043E-2</v>
      </c>
      <c r="AK6" s="19">
        <v>-4.0674603174603141E-2</v>
      </c>
      <c r="AL6" s="20">
        <v>5.3937432578209377E-2</v>
      </c>
      <c r="AM6" s="19">
        <v>-5.3361792956242438E-3</v>
      </c>
      <c r="AN6" s="19">
        <v>2.5784753363228718E-2</v>
      </c>
      <c r="AO6" s="19">
        <v>-4.7673098751418785E-2</v>
      </c>
      <c r="AP6" s="19">
        <v>8.6999999999999994E-2</v>
      </c>
      <c r="AQ6" s="19">
        <v>7.9667063020214091E-2</v>
      </c>
      <c r="AR6" s="19">
        <v>-3.2110091743119407E-2</v>
      </c>
      <c r="AS6" s="19">
        <f t="shared" si="0"/>
        <v>3.8366336633663289E-2</v>
      </c>
      <c r="AT6" s="19">
        <f t="shared" si="1"/>
        <v>0.17949460443077081</v>
      </c>
      <c r="AU6" s="19">
        <f t="shared" si="2"/>
        <v>0.11595001823345519</v>
      </c>
      <c r="AV6" s="19">
        <f t="shared" si="3"/>
        <v>3.690550134755699E-2</v>
      </c>
      <c r="AW6" s="19">
        <f t="shared" si="4"/>
        <v>-0.24398249812764949</v>
      </c>
      <c r="AX6" s="24">
        <v>0.36</v>
      </c>
      <c r="AY6" s="19">
        <f t="shared" si="5"/>
        <v>0.16513761467889906</v>
      </c>
      <c r="AZ6" s="19">
        <f t="shared" si="6"/>
        <v>0.19047619047619047</v>
      </c>
      <c r="BA6" s="21">
        <f t="shared" si="7"/>
        <v>0.94146948941469488</v>
      </c>
      <c r="BC6" s="19"/>
      <c r="BD6" s="19"/>
      <c r="BE6" s="19"/>
      <c r="BG6" s="19"/>
      <c r="BH6" s="19"/>
      <c r="BI6" s="19"/>
    </row>
    <row r="7" spans="1:61" ht="15" customHeight="1" x14ac:dyDescent="0.2">
      <c r="A7" s="8">
        <f ca="1">IFERROR(__xludf.DUMMYFUNCTION("GOOGLEFINANCE(B7, ""changepct"")"),-1.32)</f>
        <v>-1.32</v>
      </c>
      <c r="B7" s="9" t="s">
        <v>41</v>
      </c>
      <c r="C7" s="10">
        <v>8.98</v>
      </c>
      <c r="D7" s="11">
        <f>4*5.1</f>
        <v>20.399999999999999</v>
      </c>
      <c r="E7" s="11">
        <f>4*5.25</f>
        <v>21</v>
      </c>
      <c r="F7" s="22">
        <f>4*5.15</f>
        <v>20.6</v>
      </c>
      <c r="G7" s="13">
        <v>18.809999999999999</v>
      </c>
      <c r="H7" s="14">
        <v>17.25</v>
      </c>
      <c r="I7" s="18">
        <f>15.32+0.5</f>
        <v>15.82</v>
      </c>
      <c r="J7" s="16">
        <f>14.87+0.68</f>
        <v>15.549999999999999</v>
      </c>
      <c r="K7" s="18">
        <f>15.15 + 0.87</f>
        <v>16.02</v>
      </c>
      <c r="L7" s="25">
        <f>14.42 + 0.7</f>
        <v>15.12</v>
      </c>
      <c r="M7" s="25">
        <f>13.48 + 0.36</f>
        <v>13.84</v>
      </c>
      <c r="N7" s="16">
        <f>13.98 + 0.59</f>
        <v>14.57</v>
      </c>
      <c r="O7" s="18">
        <f>13.8+0.52</f>
        <v>14.32</v>
      </c>
      <c r="P7" s="18">
        <f>13.8 + 0.54</f>
        <v>14.34</v>
      </c>
      <c r="Q7" s="16">
        <f>13.77 + 0.69</f>
        <v>14.459999999999999</v>
      </c>
      <c r="R7" s="25">
        <f>13.39 + 0.54</f>
        <v>13.93</v>
      </c>
      <c r="S7" s="18">
        <f>13.28 + 0.56</f>
        <v>13.84</v>
      </c>
      <c r="T7" s="18">
        <f>13.12 + 0.57</f>
        <v>13.69</v>
      </c>
      <c r="U7" s="25">
        <f>13.13 + 0.56</f>
        <v>13.690000000000001</v>
      </c>
      <c r="V7" s="18">
        <f>13.2 + 0.55</f>
        <v>13.75</v>
      </c>
      <c r="W7" s="18">
        <f>12.7 + 0.52</f>
        <v>13.219999999999999</v>
      </c>
      <c r="X7" s="18">
        <f>12.71 + 0.49</f>
        <v>13.200000000000001</v>
      </c>
      <c r="Y7" s="19">
        <v>2.5499999999999998E-2</v>
      </c>
      <c r="Z7" s="19">
        <v>4.8828124999999778E-2</v>
      </c>
      <c r="AA7" s="19">
        <v>1.9047619047620756E-3</v>
      </c>
      <c r="AB7" s="19">
        <v>-6.5533980582524354E-2</v>
      </c>
      <c r="AC7" s="19">
        <v>-5.9542796384901564E-2</v>
      </c>
      <c r="AD7" s="19">
        <v>-5.7391304347826022E-2</v>
      </c>
      <c r="AE7" s="20">
        <v>5.0568900126422012E-3</v>
      </c>
      <c r="AF7" s="19">
        <v>5.2733118971061144E-2</v>
      </c>
      <c r="AG7" s="19">
        <v>-3.4332084893882731E-2</v>
      </c>
      <c r="AH7" s="19">
        <v>-6.1507936507936511E-2</v>
      </c>
      <c r="AI7" s="20">
        <v>7.8034682080924789E-2</v>
      </c>
      <c r="AJ7" s="19">
        <v>6.8634179821551733E-3</v>
      </c>
      <c r="AK7" s="19">
        <v>2.583798882681565E-2</v>
      </c>
      <c r="AL7" s="20">
        <v>3.2775453277545274E-2</v>
      </c>
      <c r="AM7" s="19">
        <v>-1.2448132780082943E-2</v>
      </c>
      <c r="AN7" s="19">
        <v>1.9382627422828369E-2</v>
      </c>
      <c r="AO7" s="19">
        <v>1.5173410404624166E-2</v>
      </c>
      <c r="AP7" s="19">
        <v>2.6296566837107571E-2</v>
      </c>
      <c r="AQ7" s="19">
        <v>3.0679327976625093E-2</v>
      </c>
      <c r="AR7" s="19">
        <v>-1.2363636363636465E-2</v>
      </c>
      <c r="AS7" s="19">
        <f t="shared" si="0"/>
        <v>2.5718608169440271E-2</v>
      </c>
      <c r="AT7" s="19">
        <f t="shared" si="1"/>
        <v>7.1572964368262548E-2</v>
      </c>
      <c r="AU7" s="19">
        <f t="shared" si="2"/>
        <v>0.13113795453281929</v>
      </c>
      <c r="AV7" s="19">
        <f t="shared" si="3"/>
        <v>0.11269792050748917</v>
      </c>
      <c r="AW7" s="19">
        <f t="shared" si="4"/>
        <v>4.3654348110388597E-2</v>
      </c>
      <c r="AX7" s="22">
        <v>0.36</v>
      </c>
      <c r="AY7" s="19">
        <f t="shared" si="5"/>
        <v>0.10472727272727272</v>
      </c>
      <c r="AZ7" s="19">
        <f t="shared" si="6"/>
        <v>0.16035634743875277</v>
      </c>
      <c r="BA7" s="21">
        <f t="shared" si="7"/>
        <v>0.6803030303030303</v>
      </c>
      <c r="BC7" s="19"/>
      <c r="BD7" s="19"/>
      <c r="BE7" s="19"/>
      <c r="BG7" s="19"/>
      <c r="BH7" s="19"/>
      <c r="BI7" s="19"/>
    </row>
    <row r="8" spans="1:61" ht="12.75" x14ac:dyDescent="0.2">
      <c r="A8" s="8">
        <f ca="1">IFERROR(__xludf.DUMMYFUNCTION("GOOGLEFINANCE(B8, ""changepct"")"),-1.33)</f>
        <v>-1.33</v>
      </c>
      <c r="B8" s="9" t="s">
        <v>42</v>
      </c>
      <c r="C8" s="10">
        <v>23.43</v>
      </c>
      <c r="D8" s="11">
        <v>33.479999999999997</v>
      </c>
      <c r="E8" s="12">
        <v>33.56</v>
      </c>
      <c r="F8" s="22">
        <v>31.88</v>
      </c>
      <c r="G8" s="22">
        <v>27.08</v>
      </c>
      <c r="H8" s="14">
        <v>23.6</v>
      </c>
      <c r="I8" s="15">
        <v>19.940000000000001</v>
      </c>
      <c r="J8" s="16">
        <v>20.79</v>
      </c>
      <c r="K8" s="18">
        <v>20.77</v>
      </c>
      <c r="L8" s="18">
        <v>20.73</v>
      </c>
      <c r="M8" s="18">
        <v>18.25</v>
      </c>
      <c r="N8" s="16">
        <v>19.440000000000001</v>
      </c>
      <c r="O8" s="18">
        <v>19.73</v>
      </c>
      <c r="P8" s="18">
        <v>19.25</v>
      </c>
      <c r="Q8" s="16">
        <v>19.54</v>
      </c>
      <c r="R8" s="18">
        <v>19.149999999999999</v>
      </c>
      <c r="S8" s="18">
        <v>19.02</v>
      </c>
      <c r="T8" s="18">
        <v>18.45</v>
      </c>
      <c r="U8" s="18">
        <v>19.25</v>
      </c>
      <c r="V8" s="18">
        <v>20.21</v>
      </c>
      <c r="W8" s="18">
        <v>19.82</v>
      </c>
      <c r="X8" s="18">
        <v>20.149999999999999</v>
      </c>
      <c r="Y8" s="19">
        <v>-0.04</v>
      </c>
      <c r="Z8" s="19">
        <v>2.9000000000000001E-2</v>
      </c>
      <c r="AA8" s="19">
        <v>-2.3837902264600808E-2</v>
      </c>
      <c r="AB8" s="19">
        <v>-0.12296110414052708</v>
      </c>
      <c r="AC8" s="19">
        <v>-9.6011816838995512E-2</v>
      </c>
      <c r="AD8" s="19">
        <v>-0.11779661016949161</v>
      </c>
      <c r="AE8" s="20">
        <v>8.6760280842527404E-2</v>
      </c>
      <c r="AF8" s="19">
        <v>3.0303030303030276E-2</v>
      </c>
      <c r="AG8" s="19">
        <v>2.9369282619162274E-2</v>
      </c>
      <c r="AH8" s="19">
        <v>-8.8277858176555757E-2</v>
      </c>
      <c r="AI8" s="20">
        <v>0.10082191780821925</v>
      </c>
      <c r="AJ8" s="19">
        <v>4.8353909465020495E-2</v>
      </c>
      <c r="AK8" s="19">
        <v>8.6163203243789788E-3</v>
      </c>
      <c r="AL8" s="20">
        <v>4.883116883116867E-2</v>
      </c>
      <c r="AM8" s="19">
        <v>1.3306038894575156E-2</v>
      </c>
      <c r="AN8" s="19">
        <v>2.9765013054830369E-2</v>
      </c>
      <c r="AO8" s="19">
        <v>6.8349106203995369E-3</v>
      </c>
      <c r="AP8" s="19">
        <v>8.1300813008130079E-2</v>
      </c>
      <c r="AQ8" s="19">
        <v>8.6233766233766218E-2</v>
      </c>
      <c r="AR8" s="19">
        <v>1.5338941118258287E-2</v>
      </c>
      <c r="AS8" s="19">
        <f t="shared" si="0"/>
        <v>5.4490413723511599E-2</v>
      </c>
      <c r="AT8" s="19">
        <f t="shared" si="1"/>
        <v>0.25754492061407674</v>
      </c>
      <c r="AU8" s="19">
        <f t="shared" si="2"/>
        <v>0.32540766110069019</v>
      </c>
      <c r="AV8" s="19">
        <f t="shared" si="3"/>
        <v>0.43551643826520658</v>
      </c>
      <c r="AW8" s="19">
        <f t="shared" si="4"/>
        <v>0.2818534606245624</v>
      </c>
      <c r="AX8" s="24">
        <v>0.75</v>
      </c>
      <c r="AY8" s="19">
        <f t="shared" si="5"/>
        <v>0.14844136566056407</v>
      </c>
      <c r="AZ8" s="19">
        <f t="shared" si="6"/>
        <v>0.12804097311139565</v>
      </c>
      <c r="BA8" s="21">
        <f t="shared" si="7"/>
        <v>1.1627791563275436</v>
      </c>
      <c r="BC8" s="19"/>
      <c r="BD8" s="19"/>
      <c r="BE8" s="19"/>
      <c r="BG8" s="19"/>
      <c r="BH8" s="19"/>
      <c r="BI8" s="19"/>
    </row>
    <row r="9" spans="1:61" ht="12.75" x14ac:dyDescent="0.2">
      <c r="A9" s="8">
        <f ca="1">IFERROR(__xludf.DUMMYFUNCTION("GOOGLEFINANCE(B9, ""changepct"")"),-1.73)</f>
        <v>-1.73</v>
      </c>
      <c r="B9" s="9" t="s">
        <v>43</v>
      </c>
      <c r="C9" s="10">
        <v>10.199999999999999</v>
      </c>
      <c r="D9" s="11">
        <v>11.27</v>
      </c>
      <c r="E9" s="12">
        <v>11.35</v>
      </c>
      <c r="F9" s="22">
        <v>11.44</v>
      </c>
      <c r="G9" s="22">
        <v>12.56</v>
      </c>
      <c r="H9" s="14">
        <v>12.28</v>
      </c>
      <c r="I9" s="15">
        <v>12.1</v>
      </c>
      <c r="J9" s="16">
        <v>12</v>
      </c>
      <c r="K9" s="18">
        <v>11.67</v>
      </c>
      <c r="L9" s="18">
        <v>12.16</v>
      </c>
      <c r="M9" s="18">
        <v>12.32</v>
      </c>
      <c r="N9" s="16">
        <v>11.9</v>
      </c>
      <c r="O9" s="18">
        <v>12.19</v>
      </c>
      <c r="P9" s="18">
        <v>12.39</v>
      </c>
      <c r="Q9" s="16">
        <v>12.31</v>
      </c>
      <c r="R9" s="18">
        <v>12.56</v>
      </c>
      <c r="S9" s="18">
        <v>12.39</v>
      </c>
      <c r="T9" s="18">
        <v>12.71</v>
      </c>
      <c r="U9" s="18">
        <v>12.83</v>
      </c>
      <c r="V9" s="18">
        <v>12.66</v>
      </c>
      <c r="W9" s="18">
        <v>12.51</v>
      </c>
      <c r="X9" s="18">
        <v>12.33</v>
      </c>
      <c r="Y9" s="19">
        <v>1.0999999999999999E-2</v>
      </c>
      <c r="Z9" s="19">
        <v>2.9000000000000001E-2</v>
      </c>
      <c r="AA9" s="19">
        <v>2.9955947136563799E-2</v>
      </c>
      <c r="AB9" s="19">
        <v>0.11975524475524479</v>
      </c>
      <c r="AC9" s="19">
        <v>-2.3885350318472165E-3</v>
      </c>
      <c r="AD9" s="19">
        <v>5.7003257328991364E-3</v>
      </c>
      <c r="AE9" s="20">
        <v>1.2396694214876103E-2</v>
      </c>
      <c r="AF9" s="19">
        <v>-6.6666666666667096E-3</v>
      </c>
      <c r="AG9" s="19">
        <v>6.3410454155955476E-2</v>
      </c>
      <c r="AH9" s="19">
        <v>3.3717105263157965E-2</v>
      </c>
      <c r="AI9" s="20">
        <v>-1.379870129870131E-2</v>
      </c>
      <c r="AJ9" s="19">
        <v>4.537815126050404E-2</v>
      </c>
      <c r="AK9" s="19">
        <v>3.6915504511895181E-2</v>
      </c>
      <c r="AL9" s="20">
        <v>1.3720742534301777E-2</v>
      </c>
      <c r="AM9" s="19">
        <v>4.0617384240454912E-2</v>
      </c>
      <c r="AN9" s="19">
        <v>6.3694267515923553E-3</v>
      </c>
      <c r="AO9" s="19">
        <v>4.6004842615012143E-2</v>
      </c>
      <c r="AP9" s="19">
        <v>2.9110936270652976E-2</v>
      </c>
      <c r="AQ9" s="19">
        <v>6.2353858144972296E-3</v>
      </c>
      <c r="AR9" s="19">
        <v>7.89889415481837E-3</v>
      </c>
      <c r="AS9" s="19">
        <f t="shared" si="0"/>
        <v>5.5955235811351312E-3</v>
      </c>
      <c r="AT9" s="19">
        <f t="shared" si="1"/>
        <v>4.9547453978360689E-2</v>
      </c>
      <c r="AU9" s="19">
        <f t="shared" si="2"/>
        <v>0.20177359030273778</v>
      </c>
      <c r="AV9" s="19">
        <f t="shared" si="3"/>
        <v>0.3619597503450569</v>
      </c>
      <c r="AW9" s="19">
        <f t="shared" si="4"/>
        <v>0.37416860849117883</v>
      </c>
      <c r="AX9" s="22">
        <v>0.25</v>
      </c>
      <c r="AY9" s="19">
        <f t="shared" si="5"/>
        <v>7.8988941548183256E-2</v>
      </c>
      <c r="AZ9" s="19">
        <f t="shared" si="6"/>
        <v>9.8039215686274522E-2</v>
      </c>
      <c r="BA9" s="21">
        <f t="shared" si="7"/>
        <v>0.82725060827250607</v>
      </c>
      <c r="BC9" s="19"/>
      <c r="BD9" s="19"/>
      <c r="BE9" s="19"/>
      <c r="BG9" s="19"/>
      <c r="BH9" s="19"/>
      <c r="BI9" s="19"/>
    </row>
    <row r="10" spans="1:61" ht="12.75" x14ac:dyDescent="0.2">
      <c r="A10" s="8">
        <f ca="1">IFERROR(__xludf.DUMMYFUNCTION("GOOGLEFINANCE(B10, ""changepct"")"),-1.36)</f>
        <v>-1.36</v>
      </c>
      <c r="B10" s="9" t="s">
        <v>44</v>
      </c>
      <c r="C10" s="10">
        <v>9.42</v>
      </c>
      <c r="D10" s="11">
        <v>20.77</v>
      </c>
      <c r="E10" s="12">
        <v>19.79</v>
      </c>
      <c r="F10" s="22">
        <v>19.05</v>
      </c>
      <c r="G10" s="22">
        <v>17.87</v>
      </c>
      <c r="H10" s="13">
        <v>16.59</v>
      </c>
      <c r="I10" s="15">
        <v>16.18</v>
      </c>
      <c r="J10" s="16">
        <v>15.78</v>
      </c>
      <c r="K10" s="18">
        <v>15.96</v>
      </c>
      <c r="L10" s="18">
        <v>15.81</v>
      </c>
      <c r="M10" s="18">
        <v>16.010000000000002</v>
      </c>
      <c r="N10" s="16">
        <v>16.13</v>
      </c>
      <c r="O10" s="18">
        <v>16.11</v>
      </c>
      <c r="P10" s="18">
        <v>15.89</v>
      </c>
      <c r="Q10" s="16">
        <v>15.85</v>
      </c>
      <c r="R10" s="18">
        <v>15.87</v>
      </c>
      <c r="S10" s="18">
        <v>15.43</v>
      </c>
      <c r="T10" s="18">
        <v>15</v>
      </c>
      <c r="U10" s="18">
        <v>15.16</v>
      </c>
      <c r="V10" s="18">
        <v>15.25</v>
      </c>
      <c r="W10" s="18">
        <v>14.98</v>
      </c>
      <c r="X10" s="18">
        <v>14.83</v>
      </c>
      <c r="Y10" s="19">
        <v>1.6E-2</v>
      </c>
      <c r="Z10" s="19">
        <v>-2.4554646124217649E-2</v>
      </c>
      <c r="AA10" s="19">
        <v>-1.3643254168772101E-2</v>
      </c>
      <c r="AB10" s="19">
        <v>-3.7270341207349178E-2</v>
      </c>
      <c r="AC10" s="19">
        <v>-4.5327364297705786E-2</v>
      </c>
      <c r="AD10" s="19">
        <v>3.6166365280287938E-3</v>
      </c>
      <c r="AE10" s="20">
        <v>0</v>
      </c>
      <c r="AF10" s="19">
        <v>3.6755386565272552E-2</v>
      </c>
      <c r="AG10" s="19">
        <v>1.5664160401002603E-2</v>
      </c>
      <c r="AH10" s="19">
        <v>3.7950664136622292E-2</v>
      </c>
      <c r="AI10" s="20">
        <v>3.2479700187382665E-2</v>
      </c>
      <c r="AJ10" s="19">
        <v>2.3558586484810906E-2</v>
      </c>
      <c r="AK10" s="19">
        <v>1.1173184357541777E-2</v>
      </c>
      <c r="AL10" s="20">
        <v>2.2655758338577581E-2</v>
      </c>
      <c r="AM10" s="19">
        <v>2.6498422712933678E-2</v>
      </c>
      <c r="AN10" s="19">
        <v>-2.520478890989275E-3</v>
      </c>
      <c r="AO10" s="19">
        <v>-1.9442644199610948E-3</v>
      </c>
      <c r="AP10" s="19">
        <v>3.7333333333333441E-2</v>
      </c>
      <c r="AQ10" s="19">
        <v>3.2321899736147852E-2</v>
      </c>
      <c r="AR10" s="19">
        <v>8.5245901639345867E-3</v>
      </c>
      <c r="AS10" s="19">
        <f t="shared" si="0"/>
        <v>1.6688918558077415E-2</v>
      </c>
      <c r="AT10" s="19">
        <f t="shared" si="1"/>
        <v>9.8014451064925456E-2</v>
      </c>
      <c r="AU10" s="19">
        <f t="shared" si="2"/>
        <v>0.14127958098531668</v>
      </c>
      <c r="AV10" s="19">
        <f t="shared" si="3"/>
        <v>0.27149048253865371</v>
      </c>
      <c r="AW10" s="19">
        <f t="shared" si="4"/>
        <v>0.26302439903840757</v>
      </c>
      <c r="AX10" s="22">
        <v>0.4</v>
      </c>
      <c r="AY10" s="19">
        <f t="shared" si="5"/>
        <v>0.10491803278688525</v>
      </c>
      <c r="AZ10" s="19">
        <f t="shared" si="6"/>
        <v>0.16985138004246286</v>
      </c>
      <c r="BA10" s="21">
        <f t="shared" si="7"/>
        <v>0.63519892110586651</v>
      </c>
      <c r="BC10" s="19"/>
      <c r="BD10" s="19"/>
      <c r="BE10" s="19"/>
      <c r="BG10" s="19"/>
      <c r="BH10" s="19"/>
      <c r="BI10" s="19"/>
    </row>
    <row r="11" spans="1:61" ht="12.75" x14ac:dyDescent="0.2">
      <c r="A11" s="8">
        <f ca="1">IFERROR(__xludf.DUMMYFUNCTION("GOOGLEFINANCE(B11, ""changepct"")"),-0.41)</f>
        <v>-0.41</v>
      </c>
      <c r="B11" s="9" t="s">
        <v>45</v>
      </c>
      <c r="C11" s="10">
        <v>13.28</v>
      </c>
      <c r="D11" s="11">
        <v>18.75</v>
      </c>
      <c r="E11" s="11">
        <v>18.420000000000002</v>
      </c>
      <c r="F11" s="22">
        <v>17.989999999999998</v>
      </c>
      <c r="G11" s="22">
        <v>18.239999999999998</v>
      </c>
      <c r="H11" s="14">
        <v>16.79</v>
      </c>
      <c r="I11" s="15">
        <v>14.23</v>
      </c>
      <c r="J11" s="16">
        <v>14.73</v>
      </c>
      <c r="K11" s="18">
        <v>13.8</v>
      </c>
      <c r="L11" s="18">
        <v>14.2</v>
      </c>
      <c r="M11" s="18">
        <v>12.25</v>
      </c>
      <c r="N11" s="16">
        <v>13.31</v>
      </c>
      <c r="O11" s="18">
        <v>13.2</v>
      </c>
      <c r="P11" s="18">
        <v>12.5</v>
      </c>
      <c r="Q11" s="16">
        <v>13</v>
      </c>
      <c r="R11" s="18">
        <v>12.7</v>
      </c>
      <c r="S11" s="18">
        <v>12.56</v>
      </c>
      <c r="T11" s="18">
        <v>11.95</v>
      </c>
      <c r="U11" s="18">
        <v>12.67</v>
      </c>
      <c r="V11" s="18">
        <v>13.45</v>
      </c>
      <c r="W11" s="18">
        <v>12.6</v>
      </c>
      <c r="X11" s="18">
        <v>12.9</v>
      </c>
      <c r="Y11" s="19">
        <v>-4.6337817638266054E-2</v>
      </c>
      <c r="Z11" s="19">
        <v>3.2000000000001212E-3</v>
      </c>
      <c r="AA11" s="19">
        <v>-2.1715526601521207E-3</v>
      </c>
      <c r="AB11" s="19">
        <v>3.5575319622012325E-2</v>
      </c>
      <c r="AC11" s="19">
        <v>-5.8114035087719285E-2</v>
      </c>
      <c r="AD11" s="19">
        <v>-0.12924359737939239</v>
      </c>
      <c r="AE11" s="20">
        <v>6.2543921293042981E-2</v>
      </c>
      <c r="AF11" s="19">
        <v>-3.6659877800407248E-2</v>
      </c>
      <c r="AG11" s="19">
        <v>5.7246376811594057E-2</v>
      </c>
      <c r="AH11" s="19">
        <v>-0.10985915492957743</v>
      </c>
      <c r="AI11" s="20">
        <v>0.1183673469387756</v>
      </c>
      <c r="AJ11" s="19">
        <v>2.1036814425244188E-2</v>
      </c>
      <c r="AK11" s="19">
        <v>-2.3484848484848442E-2</v>
      </c>
      <c r="AL11" s="20">
        <v>7.1200000000000152E-2</v>
      </c>
      <c r="AM11" s="19">
        <v>1.0000000000000009E-2</v>
      </c>
      <c r="AN11" s="19">
        <v>2.5984251968504068E-2</v>
      </c>
      <c r="AO11" s="19">
        <v>-8.0000000000000002E-3</v>
      </c>
      <c r="AP11" s="19">
        <v>0.102928870292887</v>
      </c>
      <c r="AQ11" s="19">
        <v>0.10181531176006309</v>
      </c>
      <c r="AR11" s="19">
        <v>-2.5278810408921881E-2</v>
      </c>
      <c r="AS11" s="19">
        <f t="shared" si="0"/>
        <v>6.4285714285714279E-2</v>
      </c>
      <c r="AT11" s="19">
        <f t="shared" si="1"/>
        <v>0.26065122005692332</v>
      </c>
      <c r="AU11" s="19">
        <f t="shared" si="2"/>
        <v>0.27367905340376697</v>
      </c>
      <c r="AV11" s="19">
        <f t="shared" si="3"/>
        <v>0.36873956538403485</v>
      </c>
      <c r="AW11" s="19">
        <f t="shared" si="4"/>
        <v>0.14905909081198421</v>
      </c>
      <c r="AX11" s="26">
        <f>3*0.17</f>
        <v>0.51</v>
      </c>
      <c r="AY11" s="19">
        <f t="shared" si="5"/>
        <v>0.15167286245353162</v>
      </c>
      <c r="AZ11" s="19">
        <f t="shared" si="6"/>
        <v>0.15361445783132532</v>
      </c>
      <c r="BA11" s="21">
        <f t="shared" si="7"/>
        <v>1.0294573643410851</v>
      </c>
      <c r="BC11" s="19"/>
      <c r="BD11" s="19"/>
      <c r="BE11" s="19"/>
      <c r="BG11" s="19"/>
      <c r="BH11" s="19"/>
      <c r="BI11" s="19"/>
    </row>
    <row r="12" spans="1:61" ht="12.75" x14ac:dyDescent="0.2">
      <c r="A12" s="8">
        <f ca="1">IFERROR(__xludf.DUMMYFUNCTION("GOOGLEFINANCE(B12, ""changepct"")"),-0.96)</f>
        <v>-0.96</v>
      </c>
      <c r="B12" s="9" t="s">
        <v>46</v>
      </c>
      <c r="C12" s="10">
        <v>6.72</v>
      </c>
      <c r="E12" s="12">
        <f>4.77*5</f>
        <v>23.849999999999998</v>
      </c>
      <c r="F12" s="12">
        <f>4.34*5</f>
        <v>21.7</v>
      </c>
      <c r="G12" s="13">
        <f>3.34*5</f>
        <v>16.7</v>
      </c>
      <c r="H12" s="22">
        <f>2.87*5</f>
        <v>14.350000000000001</v>
      </c>
      <c r="I12" s="24">
        <v>11.42</v>
      </c>
      <c r="J12" s="16">
        <v>11.93</v>
      </c>
      <c r="K12" s="18">
        <v>11.55</v>
      </c>
      <c r="L12" s="18">
        <v>11.16</v>
      </c>
      <c r="M12" s="18">
        <v>8.92</v>
      </c>
      <c r="N12" s="16">
        <v>9.1</v>
      </c>
      <c r="O12" s="18">
        <v>9.1199999999999992</v>
      </c>
      <c r="P12" s="18">
        <v>8.58</v>
      </c>
      <c r="Q12" s="16">
        <v>8.4</v>
      </c>
      <c r="R12" s="18">
        <v>8.09</v>
      </c>
      <c r="S12" s="18">
        <v>7.94</v>
      </c>
      <c r="T12" s="18">
        <v>7.21</v>
      </c>
      <c r="U12" s="18">
        <v>7.33</v>
      </c>
      <c r="V12" s="18">
        <v>7.54</v>
      </c>
      <c r="W12" s="18">
        <v>7.08</v>
      </c>
      <c r="X12" s="18">
        <v>7.22</v>
      </c>
      <c r="Y12" s="19">
        <v>-7.0000000000000001E-3</v>
      </c>
      <c r="Z12" s="19">
        <v>5.4100000000000002E-2</v>
      </c>
      <c r="AA12" s="19">
        <v>-4.9266247379454842E-2</v>
      </c>
      <c r="AB12" s="19">
        <v>-0.1947004608294931</v>
      </c>
      <c r="AC12" s="23">
        <v>-0.10029940119760483</v>
      </c>
      <c r="AD12" s="23">
        <v>-0.16620209059233459</v>
      </c>
      <c r="AE12" s="20">
        <v>8.6690017513134876E-2</v>
      </c>
      <c r="AF12" s="23">
        <v>8.3822296730931001E-3</v>
      </c>
      <c r="AG12" s="23">
        <v>7.7922077922076838E-3</v>
      </c>
      <c r="AH12" s="19">
        <v>-0.15770609318996409</v>
      </c>
      <c r="AI12" s="20">
        <v>6.0538116591928093E-2</v>
      </c>
      <c r="AJ12" s="19">
        <v>4.175824175824161E-2</v>
      </c>
      <c r="AK12" s="19">
        <v>-1.9736842105263164E-2</v>
      </c>
      <c r="AL12" s="20">
        <v>2.0979020979021046E-2</v>
      </c>
      <c r="AM12" s="19">
        <v>5.9523809523809312E-3</v>
      </c>
      <c r="AN12" s="19">
        <v>2.5957972805933371E-2</v>
      </c>
      <c r="AO12" s="19">
        <v>-4.6599496221662484E-2</v>
      </c>
      <c r="AP12" s="19">
        <v>6.6574202496532564E-2</v>
      </c>
      <c r="AQ12" s="19">
        <v>7.776261937244211E-2</v>
      </c>
      <c r="AR12" s="19">
        <v>-1.3262599469495928E-2</v>
      </c>
      <c r="AS12" s="19">
        <f t="shared" si="0"/>
        <v>6.2146892655367214E-2</v>
      </c>
      <c r="AT12" s="19">
        <f t="shared" si="1"/>
        <v>0.20475951315083929</v>
      </c>
      <c r="AU12" s="19">
        <f t="shared" si="2"/>
        <v>0.11701151691364675</v>
      </c>
      <c r="AV12" s="19">
        <f t="shared" si="3"/>
        <v>4.757598282275799E-2</v>
      </c>
      <c r="AW12" s="19">
        <f t="shared" si="4"/>
        <v>-0.13885713872868422</v>
      </c>
      <c r="AX12" s="22">
        <f>0.1+0.1+0.1</f>
        <v>0.30000000000000004</v>
      </c>
      <c r="AY12" s="19">
        <f t="shared" si="5"/>
        <v>0.15915119363395228</v>
      </c>
      <c r="AZ12" s="19">
        <f t="shared" si="6"/>
        <v>0.1785714285714286</v>
      </c>
      <c r="BA12" s="21">
        <f t="shared" si="7"/>
        <v>0.93074792243767313</v>
      </c>
      <c r="BC12" s="19"/>
      <c r="BD12" s="19"/>
      <c r="BE12" s="19"/>
      <c r="BG12" s="19"/>
      <c r="BH12" s="19"/>
      <c r="BI12" s="19"/>
    </row>
    <row r="13" spans="1:61" ht="12.75" x14ac:dyDescent="0.2">
      <c r="A13" s="8">
        <f ca="1">IFERROR(__xludf.DUMMYFUNCTION("GOOGLEFINANCE(B13, ""changepct"")"),-0.7)</f>
        <v>-0.7</v>
      </c>
      <c r="B13" s="9" t="s">
        <v>47</v>
      </c>
      <c r="C13" s="10">
        <v>16.37</v>
      </c>
      <c r="D13" s="12">
        <v>11.28</v>
      </c>
      <c r="E13" s="12">
        <v>11.09</v>
      </c>
      <c r="F13" s="12">
        <v>10.33</v>
      </c>
      <c r="G13" s="13">
        <v>8.48</v>
      </c>
      <c r="H13" s="22">
        <v>7.25</v>
      </c>
      <c r="I13" s="24">
        <v>5.83</v>
      </c>
      <c r="J13" s="16">
        <v>5.78</v>
      </c>
      <c r="K13" s="18">
        <v>5.44</v>
      </c>
      <c r="L13" s="18">
        <v>5.38</v>
      </c>
      <c r="M13" s="15">
        <v>21.73</v>
      </c>
      <c r="N13" s="16">
        <v>22.54</v>
      </c>
      <c r="O13" s="18">
        <v>22.07</v>
      </c>
      <c r="P13" s="18">
        <v>20.3</v>
      </c>
      <c r="Q13" s="16">
        <v>20.76</v>
      </c>
      <c r="R13" s="18">
        <v>19.07</v>
      </c>
      <c r="S13" s="18">
        <v>18.59</v>
      </c>
      <c r="T13" s="18">
        <v>16.899999999999999</v>
      </c>
      <c r="U13" s="18">
        <v>17.489999999999998</v>
      </c>
      <c r="V13" s="18">
        <v>18.63</v>
      </c>
      <c r="W13" s="18">
        <v>17.420000000000002</v>
      </c>
      <c r="X13" s="18">
        <v>17.53</v>
      </c>
      <c r="Y13" s="19">
        <v>-6.6129032258064532E-2</v>
      </c>
      <c r="Z13" s="27">
        <v>9.7517730496454978E-3</v>
      </c>
      <c r="AA13" s="27">
        <v>-4.1478809738503077E-2</v>
      </c>
      <c r="AB13" s="19">
        <v>-0.15004840271055164</v>
      </c>
      <c r="AC13" s="19">
        <v>-0.10966981132075482</v>
      </c>
      <c r="AD13" s="19">
        <v>-0.15448275862068972</v>
      </c>
      <c r="AE13" s="20">
        <v>4.2881646655231531E-2</v>
      </c>
      <c r="AF13" s="19">
        <v>-1.0380622837370179E-2</v>
      </c>
      <c r="AG13" s="19">
        <v>3.308823529411753E-2</v>
      </c>
      <c r="AH13" s="19">
        <v>-0.14758364312267658</v>
      </c>
      <c r="AI13" s="20">
        <v>9.2498849516796877E-2</v>
      </c>
      <c r="AJ13" s="19">
        <v>1.1091393078970668E-2</v>
      </c>
      <c r="AK13" s="19">
        <v>-4.7575894879927527E-2</v>
      </c>
      <c r="AL13" s="20">
        <v>5.8128078817734075E-2</v>
      </c>
      <c r="AM13" s="19">
        <v>-4.6724470134874907E-2</v>
      </c>
      <c r="AN13" s="19">
        <v>1.2585212375458843E-2</v>
      </c>
      <c r="AO13" s="19">
        <v>-5.2178590640129197E-2</v>
      </c>
      <c r="AP13" s="19">
        <v>7.7514792899408214E-2</v>
      </c>
      <c r="AQ13" s="19">
        <v>0.10634648370497435</v>
      </c>
      <c r="AR13" s="19">
        <v>-2.6301663982823298E-2</v>
      </c>
      <c r="AS13" s="19">
        <f t="shared" si="0"/>
        <v>4.7646383467278897E-2</v>
      </c>
      <c r="AT13" s="19">
        <f t="shared" si="1"/>
        <v>0.21605592195139045</v>
      </c>
      <c r="AU13" s="19">
        <f t="shared" si="2"/>
        <v>7.0246919802445351E-2</v>
      </c>
      <c r="AV13" s="19">
        <f t="shared" si="3"/>
        <v>4.1081140001192562E-2</v>
      </c>
      <c r="AW13" s="19">
        <f t="shared" si="4"/>
        <v>-0.19116234542457955</v>
      </c>
      <c r="AX13" s="24">
        <f>0.24*3</f>
        <v>0.72</v>
      </c>
      <c r="AY13" s="19">
        <f t="shared" si="5"/>
        <v>0.15458937198067632</v>
      </c>
      <c r="AZ13" s="19">
        <f t="shared" si="6"/>
        <v>0.17593158216249236</v>
      </c>
      <c r="BA13" s="21">
        <f t="shared" si="7"/>
        <v>0.93382772390188251</v>
      </c>
      <c r="BC13" s="19"/>
      <c r="BD13" s="19"/>
      <c r="BE13" s="19"/>
      <c r="BG13" s="19"/>
      <c r="BH13" s="19"/>
      <c r="BI13" s="19"/>
    </row>
    <row r="14" spans="1:61" ht="12.75" x14ac:dyDescent="0.2">
      <c r="A14" s="8">
        <f ca="1">IFERROR(__xludf.DUMMYFUNCTION("GOOGLEFINANCE(B14, ""changepct"")"),-2.26)</f>
        <v>-2.2599999999999998</v>
      </c>
      <c r="B14" s="9" t="s">
        <v>48</v>
      </c>
      <c r="C14" s="10">
        <v>9.9499999999999993</v>
      </c>
      <c r="D14" s="11"/>
      <c r="E14" s="28"/>
      <c r="F14" s="22"/>
      <c r="G14" s="22"/>
      <c r="H14" s="14"/>
      <c r="I14" s="14">
        <f>4*4.17</f>
        <v>16.68</v>
      </c>
      <c r="J14" s="16">
        <f>3.97*4</f>
        <v>15.88</v>
      </c>
      <c r="K14" s="29">
        <f>12.95+2.46</f>
        <v>15.41</v>
      </c>
      <c r="L14" s="30">
        <f>12.44+1.88</f>
        <v>14.32</v>
      </c>
      <c r="M14" s="30">
        <f>11.26 +1.67</f>
        <v>12.93</v>
      </c>
      <c r="N14" s="31">
        <f>11.31+ 1.35</f>
        <v>12.66</v>
      </c>
      <c r="O14" s="30">
        <f>10.21 + 1.3</f>
        <v>11.510000000000002</v>
      </c>
      <c r="P14" s="30">
        <f>9.69+ 1.33</f>
        <v>11.02</v>
      </c>
      <c r="Q14" s="31">
        <f>9.83+1.04</f>
        <v>10.870000000000001</v>
      </c>
      <c r="R14" s="30">
        <f>9.28+ 1.07</f>
        <v>10.35</v>
      </c>
      <c r="S14" s="30">
        <f>9.37+ 1.06</f>
        <v>10.43</v>
      </c>
      <c r="T14" s="30">
        <f>9.11+ 1.15</f>
        <v>10.26</v>
      </c>
      <c r="U14" s="30">
        <f>9.2+ 1.18</f>
        <v>10.379999999999999</v>
      </c>
      <c r="V14" s="30">
        <f>9.6+ 1.03</f>
        <v>10.629999999999999</v>
      </c>
      <c r="W14" s="30">
        <f>9.98+0.82</f>
        <v>10.8</v>
      </c>
      <c r="X14" s="30">
        <f>10.16+0.89</f>
        <v>11.05</v>
      </c>
      <c r="Y14" s="19"/>
      <c r="Z14" s="19"/>
      <c r="AA14" s="19"/>
      <c r="AB14" s="19">
        <v>-1.7000000000000001E-2</v>
      </c>
      <c r="AC14" s="19">
        <v>-4.0000000000000001E-3</v>
      </c>
      <c r="AD14" s="19">
        <v>-3.4000000000000002E-2</v>
      </c>
      <c r="AE14" s="20">
        <v>-2.4E-2</v>
      </c>
      <c r="AF14" s="19">
        <v>-4.4080604534004753E-3</v>
      </c>
      <c r="AG14" s="19">
        <v>-5.1265412070084282E-2</v>
      </c>
      <c r="AH14" s="19">
        <v>-7.61173184357542E-2</v>
      </c>
      <c r="AI14" s="20">
        <v>-5.4137664346480818E-3</v>
      </c>
      <c r="AJ14" s="19">
        <v>-7.5039494470774071E-2</v>
      </c>
      <c r="AK14" s="19">
        <v>-2.5195482189400709E-2</v>
      </c>
      <c r="AL14" s="20">
        <v>4.5372050816696596E-3</v>
      </c>
      <c r="AM14" s="19">
        <v>-2.9438822447102275E-2</v>
      </c>
      <c r="AN14" s="19">
        <v>2.70531400966183E-2</v>
      </c>
      <c r="AO14" s="19">
        <v>2.8763183125599667E-3</v>
      </c>
      <c r="AP14" s="19">
        <v>3.4113060428849762E-2</v>
      </c>
      <c r="AQ14" s="19">
        <v>4.6242774566473965E-2</v>
      </c>
      <c r="AR14" s="19">
        <v>3.7629350893697344E-2</v>
      </c>
      <c r="AS14" s="19">
        <f t="shared" si="0"/>
        <v>4.8148148148148051E-2</v>
      </c>
      <c r="AT14" s="19">
        <f t="shared" si="1"/>
        <v>0.17669908066816697</v>
      </c>
      <c r="AU14" s="19">
        <f t="shared" si="2"/>
        <v>9.8979291247357271E-2</v>
      </c>
      <c r="AV14" s="19">
        <f t="shared" si="3"/>
        <v>-0.11383069682046443</v>
      </c>
      <c r="AW14" s="19">
        <f t="shared" si="4"/>
        <v>-0.17151555969704357</v>
      </c>
      <c r="AX14" s="22">
        <v>0.27</v>
      </c>
      <c r="AY14" s="19">
        <f t="shared" si="5"/>
        <v>0.10159924741298214</v>
      </c>
      <c r="AZ14" s="19">
        <f t="shared" si="6"/>
        <v>0.10854271356783921</v>
      </c>
      <c r="BA14" s="21">
        <f t="shared" si="7"/>
        <v>0.90045248868778272</v>
      </c>
      <c r="BC14" s="19"/>
      <c r="BD14" s="19"/>
      <c r="BE14" s="19"/>
      <c r="BG14" s="19"/>
      <c r="BH14" s="19"/>
      <c r="BI14" s="19"/>
    </row>
    <row r="15" spans="1:61" ht="12.75" x14ac:dyDescent="0.2">
      <c r="A15" s="8">
        <f ca="1">IFERROR(__xludf.DUMMYFUNCTION("GOOGLEFINANCE(B15, ""changepct"")"),-0.88)</f>
        <v>-0.88</v>
      </c>
      <c r="B15" s="9" t="s">
        <v>49</v>
      </c>
      <c r="C15" s="10">
        <v>76.150000000000006</v>
      </c>
      <c r="D15" s="11">
        <v>54.49</v>
      </c>
      <c r="E15" s="28">
        <v>58</v>
      </c>
      <c r="F15" s="22">
        <v>60.11</v>
      </c>
      <c r="G15" s="22">
        <v>62.19</v>
      </c>
      <c r="H15" s="14">
        <v>65.38</v>
      </c>
      <c r="I15" s="14">
        <v>68.260000000000005</v>
      </c>
      <c r="J15" s="16">
        <v>69.44</v>
      </c>
      <c r="K15" s="18">
        <v>68.91</v>
      </c>
      <c r="L15" s="18">
        <v>69.77</v>
      </c>
      <c r="M15" s="32">
        <v>71.56</v>
      </c>
      <c r="N15" s="16">
        <v>70.52</v>
      </c>
      <c r="O15" s="32">
        <v>70.13</v>
      </c>
      <c r="P15" s="32">
        <v>71.760000000000005</v>
      </c>
      <c r="Q15" s="16">
        <v>72.95</v>
      </c>
      <c r="R15" s="33">
        <v>74.540000000000006</v>
      </c>
      <c r="S15" s="18">
        <v>75.569999999999993</v>
      </c>
      <c r="T15" s="18">
        <v>78.040000000000006</v>
      </c>
      <c r="U15" s="18">
        <v>81.12</v>
      </c>
      <c r="V15" s="18">
        <v>82.77</v>
      </c>
      <c r="W15" s="18">
        <v>83.31</v>
      </c>
      <c r="X15" s="18">
        <v>83.49</v>
      </c>
      <c r="Y15" s="19">
        <v>0.05</v>
      </c>
      <c r="Z15" s="19">
        <v>6.8085887318774185E-2</v>
      </c>
      <c r="AA15" s="19">
        <v>3.9827586206896637E-2</v>
      </c>
      <c r="AB15" s="19">
        <v>3.7930460821826717E-2</v>
      </c>
      <c r="AC15" s="19">
        <v>5.4510371442354044E-2</v>
      </c>
      <c r="AD15" s="19">
        <v>4.7109207708779577E-2</v>
      </c>
      <c r="AE15" s="20">
        <v>2.0216818048637508E-2</v>
      </c>
      <c r="AF15" s="19">
        <v>-4.7523041474654137E-3</v>
      </c>
      <c r="AG15" s="27">
        <v>1.5382382818168727E-2</v>
      </c>
      <c r="AH15" s="19">
        <v>2.8522287516124623E-2</v>
      </c>
      <c r="AI15" s="20">
        <v>-1.173840134153159E-2</v>
      </c>
      <c r="AJ15" s="19">
        <v>-2.6942711287577525E-3</v>
      </c>
      <c r="AK15" s="19">
        <v>2.6094396121488783E-2</v>
      </c>
      <c r="AL15" s="20">
        <v>2.0763656633221883E-2</v>
      </c>
      <c r="AM15" s="19">
        <v>2.5908156271418736E-2</v>
      </c>
      <c r="AN15" s="19">
        <v>1.7842768983096002E-2</v>
      </c>
      <c r="AO15" s="19">
        <v>3.6654757178774755E-2</v>
      </c>
      <c r="AP15" s="19">
        <v>4.331112250128144E-2</v>
      </c>
      <c r="AQ15" s="19">
        <v>2.4038461538461453E-2</v>
      </c>
      <c r="AR15" s="19">
        <v>1.0148604566872166E-2</v>
      </c>
      <c r="AS15" s="19">
        <f t="shared" si="0"/>
        <v>5.761613251710429E-3</v>
      </c>
      <c r="AT15" s="19">
        <f t="shared" si="1"/>
        <v>8.5451517111124531E-2</v>
      </c>
      <c r="AU15" s="19">
        <f t="shared" si="2"/>
        <v>0.22363308771615498</v>
      </c>
      <c r="AV15" s="19">
        <f t="shared" si="3"/>
        <v>0.25949015461583369</v>
      </c>
      <c r="AW15" s="19">
        <f t="shared" si="4"/>
        <v>0.41208640022545162</v>
      </c>
      <c r="AX15" s="22">
        <v>0.3</v>
      </c>
      <c r="AY15" s="19">
        <f t="shared" si="5"/>
        <v>1.4498006524102935E-2</v>
      </c>
      <c r="AZ15" s="19">
        <f t="shared" si="6"/>
        <v>1.5758371634931056E-2</v>
      </c>
      <c r="BA15" s="21">
        <f t="shared" si="7"/>
        <v>0.9120852796742126</v>
      </c>
    </row>
    <row r="16" spans="1:61" ht="12.75" x14ac:dyDescent="0.2">
      <c r="A16" s="34">
        <f ca="1">IFERROR(__xludf.DUMMYFUNCTION("GOOGLEFINANCE(B16, ""changepct"")"),-0.62)</f>
        <v>-0.62</v>
      </c>
      <c r="B16" s="35" t="s">
        <v>50</v>
      </c>
      <c r="C16" s="36">
        <v>4.8</v>
      </c>
      <c r="D16" s="37">
        <v>11.46</v>
      </c>
      <c r="E16" s="37">
        <v>12</v>
      </c>
      <c r="F16" s="38">
        <v>12.06</v>
      </c>
      <c r="G16" s="38">
        <v>12.01</v>
      </c>
      <c r="H16" s="39">
        <v>10.78</v>
      </c>
      <c r="I16" s="39">
        <v>10.18</v>
      </c>
      <c r="J16" s="40">
        <v>9.5500000000000007</v>
      </c>
      <c r="K16" s="41">
        <v>9.4</v>
      </c>
      <c r="L16" s="41">
        <v>9.26</v>
      </c>
      <c r="M16" s="42">
        <v>8.77</v>
      </c>
      <c r="N16" s="40">
        <v>8.64</v>
      </c>
      <c r="O16" s="42">
        <v>8.7799999999999994</v>
      </c>
      <c r="P16" s="42">
        <v>8.73</v>
      </c>
      <c r="Q16" s="40">
        <v>8.74</v>
      </c>
      <c r="R16" s="42">
        <v>8.4600000000000009</v>
      </c>
      <c r="S16" s="41">
        <v>8.39</v>
      </c>
      <c r="T16" s="41">
        <v>7.49</v>
      </c>
      <c r="U16" s="41">
        <v>7.35</v>
      </c>
      <c r="V16" s="41">
        <v>7.36</v>
      </c>
      <c r="W16" s="41">
        <v>7.12</v>
      </c>
      <c r="X16" s="41">
        <v>6.9</v>
      </c>
      <c r="Y16" s="43">
        <v>8.2000000000000003E-2</v>
      </c>
      <c r="Z16" s="43">
        <v>6.5000000000000002E-2</v>
      </c>
      <c r="AA16" s="43">
        <v>2.416666666666667E-2</v>
      </c>
      <c r="AB16" s="43">
        <v>1.4925373134328401E-2</v>
      </c>
      <c r="AC16" s="43">
        <v>-8.3263946711074066E-2</v>
      </c>
      <c r="AD16" s="43">
        <v>-3.4322820037105628E-2</v>
      </c>
      <c r="AE16" s="44">
        <v>-3.9292730844793566E-2</v>
      </c>
      <c r="AF16" s="43">
        <v>8.3769633507853047E-3</v>
      </c>
      <c r="AG16" s="43">
        <v>2.1276595744681437E-3</v>
      </c>
      <c r="AH16" s="43">
        <v>-3.5637149028077797E-2</v>
      </c>
      <c r="AI16" s="44">
        <v>3.420752565564511E-3</v>
      </c>
      <c r="AJ16" s="43">
        <v>3.4722222222222099E-2</v>
      </c>
      <c r="AK16" s="43">
        <v>1.2528473804100271E-2</v>
      </c>
      <c r="AL16" s="44">
        <v>2.0618556701030855E-2</v>
      </c>
      <c r="AM16" s="43">
        <v>-1.1441647597253968E-2</v>
      </c>
      <c r="AN16" s="43">
        <v>1.3002364066193817E-2</v>
      </c>
      <c r="AO16" s="43">
        <v>-8.5816448152562619E-2</v>
      </c>
      <c r="AP16" s="43">
        <v>5.3404539385846217E-3</v>
      </c>
      <c r="AQ16" s="19">
        <v>2.5850340136054584E-2</v>
      </c>
      <c r="AR16" s="19">
        <v>-8.15217391304357E-3</v>
      </c>
      <c r="AS16" s="19">
        <f t="shared" si="0"/>
        <v>-5.6179775280899014E-3</v>
      </c>
      <c r="AT16" s="19">
        <f t="shared" si="1"/>
        <v>1.7174525773022475E-2</v>
      </c>
      <c r="AU16" s="19">
        <f t="shared" si="2"/>
        <v>-3.2259117549943372E-2</v>
      </c>
      <c r="AV16" s="19">
        <f t="shared" si="3"/>
        <v>-2.897711642149603E-2</v>
      </c>
      <c r="AW16" s="19">
        <f t="shared" si="4"/>
        <v>-0.16724022846045605</v>
      </c>
      <c r="AX16" s="38">
        <v>0.18</v>
      </c>
      <c r="AY16" s="19">
        <f t="shared" si="5"/>
        <v>9.7826086956521729E-2</v>
      </c>
      <c r="AZ16" s="43">
        <f t="shared" si="6"/>
        <v>0.15</v>
      </c>
      <c r="BA16" s="21">
        <f t="shared" si="7"/>
        <v>0.69565217391304346</v>
      </c>
      <c r="BB16" s="35"/>
      <c r="BC16" s="35"/>
      <c r="BD16" s="35"/>
      <c r="BE16" s="35"/>
      <c r="BF16" s="35"/>
      <c r="BG16" s="35"/>
      <c r="BH16" s="35"/>
      <c r="BI16" s="35"/>
    </row>
    <row r="17" spans="2:53" ht="12.75" x14ac:dyDescent="0.2">
      <c r="C17" s="12"/>
      <c r="D17" s="12"/>
      <c r="E17" s="12"/>
      <c r="AD17" s="45"/>
      <c r="AE17" s="45"/>
      <c r="AF17" s="45"/>
      <c r="AG17" s="45"/>
      <c r="AH17" s="45"/>
      <c r="AI17" s="45"/>
      <c r="AJ17" s="45"/>
      <c r="AK17" s="45"/>
      <c r="AL17" s="45"/>
      <c r="AM17" s="46"/>
      <c r="AN17" s="46"/>
      <c r="AO17" s="46"/>
      <c r="AP17" s="46"/>
      <c r="AQ17" s="46"/>
      <c r="AR17" s="46"/>
      <c r="AS17" s="46"/>
      <c r="AT17" s="27"/>
      <c r="AU17" s="12"/>
      <c r="AV17" s="12"/>
      <c r="AW17" s="12"/>
      <c r="AX17" s="27"/>
      <c r="AZ17" s="47"/>
    </row>
    <row r="18" spans="2:53" ht="12.75" x14ac:dyDescent="0.2">
      <c r="C18" s="12"/>
      <c r="D18" s="48"/>
      <c r="E18" s="11"/>
      <c r="AA18" s="49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50"/>
    </row>
    <row r="19" spans="2:53" ht="12.75" x14ac:dyDescent="0.2">
      <c r="C19" s="12"/>
      <c r="D19" s="48"/>
      <c r="E19" s="11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</row>
    <row r="20" spans="2:53" ht="12.75" x14ac:dyDescent="0.2">
      <c r="C20" s="12"/>
      <c r="D20" s="48"/>
      <c r="E20" s="11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</row>
    <row r="21" spans="2:53" ht="12.75" x14ac:dyDescent="0.2">
      <c r="C21" s="12"/>
      <c r="D21" s="48"/>
      <c r="E21" s="12"/>
    </row>
    <row r="22" spans="2:53" ht="12.75" x14ac:dyDescent="0.2">
      <c r="C22" s="12"/>
      <c r="D22" s="48"/>
      <c r="E22" s="12"/>
    </row>
    <row r="23" spans="2:53" ht="12.75" x14ac:dyDescent="0.2">
      <c r="C23" s="12"/>
      <c r="D23" s="48"/>
      <c r="E23" s="12"/>
    </row>
    <row r="24" spans="2:53" ht="12.75" x14ac:dyDescent="0.2">
      <c r="C24" s="12"/>
      <c r="D24" s="48"/>
      <c r="E24" s="12"/>
    </row>
    <row r="25" spans="2:53" ht="12.75" x14ac:dyDescent="0.2">
      <c r="C25" s="12"/>
      <c r="E25" s="12"/>
    </row>
    <row r="26" spans="2:53" ht="12.75" x14ac:dyDescent="0.2">
      <c r="C26" s="12"/>
      <c r="D26" s="12"/>
      <c r="E26" s="12"/>
    </row>
    <row r="27" spans="2:53" ht="12.75" x14ac:dyDescent="0.2">
      <c r="C27" s="12"/>
      <c r="D27" s="12"/>
      <c r="E27" s="12"/>
      <c r="Y27" s="12"/>
    </row>
    <row r="28" spans="2:53" ht="12.75" x14ac:dyDescent="0.2">
      <c r="B28" s="45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21"/>
      <c r="Q28" s="11"/>
      <c r="R28" s="5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X28" s="2"/>
      <c r="AY28" s="2"/>
      <c r="AZ28" s="2"/>
      <c r="BA28" s="11"/>
    </row>
    <row r="29" spans="2:53" ht="12.75" x14ac:dyDescent="0.2">
      <c r="B29" s="45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27"/>
      <c r="Q29" s="11"/>
      <c r="R29" s="5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T29" s="48"/>
      <c r="AU29" s="11"/>
      <c r="AV29" s="11"/>
      <c r="AW29" s="11"/>
      <c r="AX29" s="52"/>
      <c r="AY29" s="2"/>
      <c r="AZ29" s="2"/>
      <c r="BA29" s="11"/>
    </row>
    <row r="30" spans="2:53" ht="12.75" x14ac:dyDescent="0.2">
      <c r="B30" s="45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5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53"/>
      <c r="AD30" s="54"/>
      <c r="AE30" s="54"/>
      <c r="AF30" s="54"/>
      <c r="AG30" s="54"/>
      <c r="AH30" s="54"/>
      <c r="AI30" s="54"/>
      <c r="AJ30" s="54"/>
      <c r="AK30" s="54"/>
      <c r="AL30" s="54"/>
      <c r="AM30" s="55"/>
      <c r="AN30" s="55"/>
      <c r="AO30" s="55"/>
      <c r="AP30" s="55"/>
      <c r="AQ30" s="55"/>
      <c r="AR30" s="55"/>
      <c r="AS30" s="55"/>
      <c r="AT30" s="48"/>
      <c r="AU30" s="11"/>
      <c r="AV30" s="11"/>
      <c r="AW30" s="11"/>
      <c r="AX30" s="2"/>
      <c r="AY30" s="2"/>
      <c r="AZ30" s="2"/>
      <c r="BA30" s="11"/>
    </row>
    <row r="31" spans="2:53" ht="12.75" x14ac:dyDescent="0.2">
      <c r="B31" s="45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56"/>
      <c r="AU31" s="51"/>
      <c r="AV31" s="51"/>
      <c r="AW31" s="51"/>
      <c r="AX31" s="2"/>
      <c r="AY31" s="2"/>
      <c r="AZ31" s="2"/>
      <c r="BA31" s="11"/>
    </row>
    <row r="32" spans="2:53" ht="15" x14ac:dyDescent="0.25">
      <c r="C32" s="11"/>
      <c r="D32" s="11"/>
      <c r="E32" s="11"/>
      <c r="F32" s="11"/>
      <c r="G32" s="11"/>
      <c r="H32" s="57"/>
      <c r="I32" s="57"/>
      <c r="J32" s="57"/>
      <c r="K32" s="57"/>
      <c r="L32" s="57"/>
      <c r="M32" s="57"/>
      <c r="N32" s="57"/>
      <c r="O32" s="58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51"/>
      <c r="AU32" s="51"/>
      <c r="AV32" s="51"/>
      <c r="AW32" s="51"/>
      <c r="AX32" s="2"/>
      <c r="AY32" s="2"/>
      <c r="AZ32" s="2"/>
      <c r="BA32" s="11"/>
    </row>
    <row r="33" spans="2:53" ht="15" x14ac:dyDescent="0.25">
      <c r="B33" s="45"/>
      <c r="C33" s="11"/>
      <c r="D33" s="11"/>
      <c r="E33" s="11"/>
      <c r="F33" s="11"/>
      <c r="G33" s="11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21"/>
      <c r="AU33" s="11"/>
      <c r="AV33" s="11"/>
      <c r="AW33" s="11"/>
      <c r="AX33" s="2"/>
      <c r="AY33" s="2"/>
      <c r="AZ33" s="2"/>
      <c r="BA33" s="11"/>
    </row>
    <row r="34" spans="2:53" ht="15" x14ac:dyDescent="0.25">
      <c r="B34" s="45"/>
      <c r="C34" s="11"/>
      <c r="D34" s="11"/>
      <c r="E34" s="11"/>
      <c r="F34" s="11"/>
      <c r="G34" s="11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2"/>
      <c r="AY34" s="2"/>
      <c r="AZ34" s="2"/>
      <c r="BA34" s="11"/>
    </row>
    <row r="35" spans="2:53" ht="15" x14ac:dyDescent="0.25">
      <c r="B35" s="45"/>
      <c r="C35" s="11"/>
      <c r="D35" s="11"/>
      <c r="E35" s="11"/>
      <c r="F35" s="11"/>
      <c r="G35" s="11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2"/>
      <c r="AY35" s="2"/>
      <c r="AZ35" s="2"/>
      <c r="BA35" s="11"/>
    </row>
    <row r="36" spans="2:53" ht="15" x14ac:dyDescent="0.25">
      <c r="B36" s="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57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2"/>
      <c r="AY36" s="2"/>
      <c r="AZ36" s="2"/>
      <c r="BA36" s="11"/>
    </row>
    <row r="37" spans="2:53" ht="12.75" x14ac:dyDescent="0.2">
      <c r="B37" s="2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</row>
    <row r="38" spans="2:53" ht="15" x14ac:dyDescent="0.25">
      <c r="C38" s="11"/>
      <c r="D38" s="11"/>
      <c r="E38" s="11"/>
      <c r="F38" s="11"/>
      <c r="G38" s="11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</row>
    <row r="39" spans="2:53" ht="15" x14ac:dyDescent="0.25">
      <c r="B39" s="45"/>
      <c r="C39" s="11"/>
      <c r="D39" s="11"/>
      <c r="E39" s="11"/>
      <c r="F39" s="11"/>
      <c r="G39" s="11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9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</row>
    <row r="40" spans="2:53" ht="15" x14ac:dyDescent="0.25">
      <c r="B40" s="45"/>
      <c r="C40" s="11"/>
      <c r="D40" s="11"/>
      <c r="E40" s="11"/>
      <c r="F40" s="11"/>
      <c r="G40" s="11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</row>
    <row r="41" spans="2:53" ht="15" x14ac:dyDescent="0.25">
      <c r="B41" s="45"/>
      <c r="C41" s="11"/>
      <c r="D41" s="11"/>
      <c r="E41" s="11"/>
      <c r="F41" s="11"/>
      <c r="G41" s="11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</row>
    <row r="42" spans="2:53" ht="12.75" x14ac:dyDescent="0.2"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</row>
    <row r="43" spans="2:53" ht="12.75" x14ac:dyDescent="0.2">
      <c r="C43" s="60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</row>
    <row r="44" spans="2:53" ht="12.75" x14ac:dyDescent="0.2"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</row>
    <row r="45" spans="2:53" ht="12.75" x14ac:dyDescent="0.2"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</row>
  </sheetData>
  <conditionalFormatting sqref="A3:A16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AS3:AS16 BC3:BC16 AD17:AL17">
    <cfRule type="colorScale" priority="3">
      <colorScale>
        <cfvo type="min"/>
        <cfvo type="percentile" val="50"/>
        <cfvo type="max"/>
        <color rgb="FFE67C73"/>
        <color rgb="FFFFD666"/>
        <color rgb="FFA4C77A"/>
      </colorScale>
    </cfRule>
  </conditionalFormatting>
  <conditionalFormatting sqref="AT3:AT16 BD3:BD16 BG3:BG16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AU3:AU16 BE3:BE16 BH3:BH16">
    <cfRule type="colorScale" priority="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AV3:AW16 BG3:BI16">
    <cfRule type="colorScale" priority="5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A3:BA16">
    <cfRule type="colorScale" priority="6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mREITs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Sunil Yadav</cp:lastModifiedBy>
  <dcterms:created xsi:type="dcterms:W3CDTF">2026-08-20T19:33:04Z</dcterms:created>
  <dcterms:modified xsi:type="dcterms:W3CDTF">2026-08-20T20:11:44Z</dcterms:modified>
</cp:coreProperties>
</file>